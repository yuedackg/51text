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/>
  <bookViews>
    <workbookView xWindow="0" yWindow="0" windowWidth="20490" windowHeight="7770" tabRatio="845" firstSheet="14" activeTab="15"/>
  </bookViews>
  <sheets>
    <sheet name="コース別テキスト代" sheetId="1" r:id="rId1"/>
    <sheet name="教材費（教科書代以外）" sheetId="2" r:id="rId2"/>
    <sheet name="教科書一覧" sheetId="3" r:id="rId3"/>
    <sheet name="各クラスの集計" sheetId="4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処理技術学科3年課程)" sheetId="8" r:id="rId8"/>
    <sheet name="一般3年生(情報処理技術学科3年課程)" sheetId="9" r:id="rId9"/>
    <sheet name="一般3年生(ITスペシャリスト学科)" sheetId="10" r:id="rId10"/>
    <sheet name="一般4年生" sheetId="11" r:id="rId11"/>
    <sheet name="一般1年生 (キャリアデザイン)" sheetId="12" r:id="rId12"/>
    <sheet name="一般2年生 (キャリアデザイン)" sheetId="13" r:id="rId13"/>
    <sheet name="一般1年生 (スポーツ福祉)" sheetId="14" r:id="rId14"/>
    <sheet name="一般2年生 (スポーツ福祉)" sheetId="15" r:id="rId15"/>
    <sheet name="一般1年生 (パソコン事務)" sheetId="16" r:id="rId16"/>
    <sheet name="アスリート1年生" sheetId="17" r:id="rId17"/>
    <sheet name="アスリート2年生" sheetId="18" r:id="rId18"/>
    <sheet name="アスリート3年生" sheetId="19" r:id="rId19"/>
    <sheet name="留学生1年生" sheetId="20" r:id="rId20"/>
    <sheet name="留学生2年生" sheetId="21" r:id="rId21"/>
    <sheet name="留学生3年生" sheetId="22" r:id="rId22"/>
    <sheet name="留学生4年生" sheetId="23" r:id="rId23"/>
  </sheets>
  <definedNames>
    <definedName name="_xlnm._FilterDatabase" localSheetId="0" hidden="1">コース別テキスト代!$A$1:$P$29</definedName>
    <definedName name="_xlnm._FilterDatabase" localSheetId="2" hidden="1">教科書一覧!$B$1:$D$47</definedName>
    <definedName name="_xlnm._FilterDatabase" localSheetId="21" hidden="1">留学生3年生!$A$3:$L$18</definedName>
    <definedName name="_xlnm.Print_Area" localSheetId="17">アスリート2年生!$A$1:$J$34</definedName>
    <definedName name="_xlnm.Print_Area" localSheetId="18">アスリート3年生!$A$1:$F$34</definedName>
    <definedName name="_xlnm.Print_Area" localSheetId="0">コース別テキスト代!$A$1:$Q$41</definedName>
    <definedName name="_xlnm.Print_Area" localSheetId="11">'一般1年生 (キャリアデザイン)'!$A$1:$J$44</definedName>
    <definedName name="_xlnm.Print_Area" localSheetId="4">'一般1年生(情報処理技術学科2年課程)'!$A$1:$F$35</definedName>
    <definedName name="_xlnm.Print_Area" localSheetId="12">'一般2年生 (キャリアデザイン)'!$A$1:$F$35</definedName>
    <definedName name="_xlnm.Print_Area" localSheetId="14">'一般2年生 (スポーツ福祉)'!$A$1:$F$35</definedName>
    <definedName name="_xlnm.Print_Area" localSheetId="6">'一般2年生 (情報処理技術学科2年課程)'!$A$1:$F$35</definedName>
    <definedName name="_xlnm.Print_Area" localSheetId="7">'一般2年生 (情報処理技術学科3年課程)'!$A$1:$F$34</definedName>
    <definedName name="_xlnm.Print_Area" localSheetId="9">'一般3年生(ITスペシャリスト学科)'!$A$1:$F$34</definedName>
    <definedName name="_xlnm.Print_Area" localSheetId="8">'一般3年生(情報処理技術学科3年課程)'!$A$1:$F$34</definedName>
    <definedName name="_xlnm.Print_Area" localSheetId="2">教科書一覧!$A$1:$AB$46</definedName>
    <definedName name="_xlnm.Print_Area" localSheetId="20">留学生2年生!$A$1:$O$32</definedName>
    <definedName name="Z_8C3311D4_BF6B_4714_8FEE_EF832EA44719_.wvu.Cols" localSheetId="0" hidden="1">コース別テキスト代!$A:$A,コース別テキスト代!$G:$H</definedName>
    <definedName name="Z_8C3311D4_BF6B_4714_8FEE_EF832EA44719_.wvu.Cols" localSheetId="20" hidden="1">留学生2年生!$J:$M</definedName>
    <definedName name="Z_8C3311D4_BF6B_4714_8FEE_EF832EA44719_.wvu.Cols" localSheetId="21" hidden="1">留学生3年生!$F:$F,留学生3年生!$H:$H</definedName>
    <definedName name="Z_8C3311D4_BF6B_4714_8FEE_EF832EA44719_.wvu.Cols" localSheetId="22" hidden="1">留学生4年生!$F:$F,留学生4年生!$H:$H</definedName>
    <definedName name="Z_8C3311D4_BF6B_4714_8FEE_EF832EA44719_.wvu.FilterData" localSheetId="0" hidden="1">コース別テキスト代!$A$1:$P$29</definedName>
    <definedName name="Z_8C3311D4_BF6B_4714_8FEE_EF832EA44719_.wvu.FilterData" localSheetId="2" hidden="1">教科書一覧!$B$1:$D$47</definedName>
    <definedName name="Z_8C3311D4_BF6B_4714_8FEE_EF832EA44719_.wvu.PrintArea" localSheetId="17" hidden="1">アスリート2年生!$A$1:$J$34</definedName>
    <definedName name="Z_8C3311D4_BF6B_4714_8FEE_EF832EA44719_.wvu.PrintArea" localSheetId="18" hidden="1">アスリート3年生!$A$1:$F$34</definedName>
    <definedName name="Z_8C3311D4_BF6B_4714_8FEE_EF832EA44719_.wvu.PrintArea" localSheetId="0" hidden="1">コース別テキスト代!$A$1:$Q$41</definedName>
    <definedName name="Z_8C3311D4_BF6B_4714_8FEE_EF832EA44719_.wvu.PrintArea" localSheetId="11" hidden="1">'一般1年生 (キャリアデザイン)'!$A$1:$J$44</definedName>
    <definedName name="Z_8C3311D4_BF6B_4714_8FEE_EF832EA44719_.wvu.PrintArea" localSheetId="4" hidden="1">'一般1年生(情報処理技術学科2年課程)'!$A$1:$F$35</definedName>
    <definedName name="Z_8C3311D4_BF6B_4714_8FEE_EF832EA44719_.wvu.PrintArea" localSheetId="12" hidden="1">'一般2年生 (キャリアデザイン)'!$A$1:$F$35</definedName>
    <definedName name="Z_8C3311D4_BF6B_4714_8FEE_EF832EA44719_.wvu.PrintArea" localSheetId="14" hidden="1">'一般2年生 (スポーツ福祉)'!$A$1:$F$35</definedName>
    <definedName name="Z_8C3311D4_BF6B_4714_8FEE_EF832EA44719_.wvu.PrintArea" localSheetId="6" hidden="1">'一般2年生 (情報処理技術学科2年課程)'!$A$1:$F$35</definedName>
    <definedName name="Z_8C3311D4_BF6B_4714_8FEE_EF832EA44719_.wvu.PrintArea" localSheetId="7" hidden="1">'一般2年生 (情報処理技術学科3年課程)'!$A$1:$F$34</definedName>
    <definedName name="Z_8C3311D4_BF6B_4714_8FEE_EF832EA44719_.wvu.PrintArea" localSheetId="9" hidden="1">'一般3年生(ITスペシャリスト学科)'!$A$1:$F$34</definedName>
    <definedName name="Z_8C3311D4_BF6B_4714_8FEE_EF832EA44719_.wvu.PrintArea" localSheetId="8" hidden="1">'一般3年生(情報処理技術学科3年課程)'!$A$1:$F$34</definedName>
    <definedName name="Z_8C3311D4_BF6B_4714_8FEE_EF832EA44719_.wvu.PrintArea" localSheetId="2" hidden="1">教科書一覧!$A$1:$AB$46</definedName>
    <definedName name="Z_8C3311D4_BF6B_4714_8FEE_EF832EA44719_.wvu.PrintArea" localSheetId="20" hidden="1">留学生2年生!$A$1:$O$32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7" hidden="1">'一般2年生 (情報処理技術学科3年課程)'!$15:$20</definedName>
    <definedName name="Z_8C3311D4_BF6B_4714_8FEE_EF832EA44719_.wvu.Rows" localSheetId="9" hidden="1">'一般3年生(ITスペシャリスト学科)'!$15:$20</definedName>
    <definedName name="Z_8C3311D4_BF6B_4714_8FEE_EF832EA44719_.wvu.Rows" localSheetId="8" hidden="1">'一般3年生(情報処理技術学科3年課程)'!$15:$20</definedName>
    <definedName name="Z_8C3311D4_BF6B_4714_8FEE_EF832EA44719_.wvu.Rows" localSheetId="10" hidden="1">一般4年生!$15:$20</definedName>
    <definedName name="Z_8C3311D4_BF6B_4714_8FEE_EF832EA44719_.wvu.Rows" localSheetId="2" hidden="1">教科書一覧!$32:$32,教科書一覧!$34:$34</definedName>
    <definedName name="Z_A87E9810_C071_481C_8E97_844F69858952_.wvu.Cols" localSheetId="0" hidden="1">コース別テキスト代!$A:$A,コース別テキスト代!$G:$H</definedName>
    <definedName name="Z_A87E9810_C071_481C_8E97_844F69858952_.wvu.Cols" localSheetId="20" hidden="1">留学生2年生!$J:$M</definedName>
    <definedName name="Z_A87E9810_C071_481C_8E97_844F69858952_.wvu.Cols" localSheetId="21" hidden="1">留学生3年生!$F:$F,留学生3年生!$H:$H</definedName>
    <definedName name="Z_A87E9810_C071_481C_8E97_844F69858952_.wvu.Cols" localSheetId="22" hidden="1">留学生4年生!$F:$F,留学生4年生!$H:$H</definedName>
    <definedName name="Z_A87E9810_C071_481C_8E97_844F69858952_.wvu.FilterData" localSheetId="0" hidden="1">コース別テキスト代!$A$1:$P$29</definedName>
    <definedName name="Z_A87E9810_C071_481C_8E97_844F69858952_.wvu.FilterData" localSheetId="2" hidden="1">教科書一覧!$B$1:$D$47</definedName>
    <definedName name="Z_A87E9810_C071_481C_8E97_844F69858952_.wvu.PrintArea" localSheetId="17" hidden="1">アスリート2年生!$A$1:$J$34</definedName>
    <definedName name="Z_A87E9810_C071_481C_8E97_844F69858952_.wvu.PrintArea" localSheetId="18" hidden="1">アスリート3年生!$A$1:$F$34</definedName>
    <definedName name="Z_A87E9810_C071_481C_8E97_844F69858952_.wvu.PrintArea" localSheetId="0" hidden="1">コース別テキスト代!$A$1:$Q$41</definedName>
    <definedName name="Z_A87E9810_C071_481C_8E97_844F69858952_.wvu.PrintArea" localSheetId="11" hidden="1">'一般1年生 (キャリアデザイン)'!$A$1:$J$44</definedName>
    <definedName name="Z_A87E9810_C071_481C_8E97_844F69858952_.wvu.PrintArea" localSheetId="4" hidden="1">'一般1年生(情報処理技術学科2年課程)'!$A$1:$F$35</definedName>
    <definedName name="Z_A87E9810_C071_481C_8E97_844F69858952_.wvu.PrintArea" localSheetId="12" hidden="1">'一般2年生 (キャリアデザイン)'!$A$1:$F$35</definedName>
    <definedName name="Z_A87E9810_C071_481C_8E97_844F69858952_.wvu.PrintArea" localSheetId="14" hidden="1">'一般2年生 (スポーツ福祉)'!$A$1:$F$35</definedName>
    <definedName name="Z_A87E9810_C071_481C_8E97_844F69858952_.wvu.PrintArea" localSheetId="6" hidden="1">'一般2年生 (情報処理技術学科2年課程)'!$A$1:$F$35</definedName>
    <definedName name="Z_A87E9810_C071_481C_8E97_844F69858952_.wvu.PrintArea" localSheetId="7" hidden="1">'一般2年生 (情報処理技術学科3年課程)'!$A$1:$F$34</definedName>
    <definedName name="Z_A87E9810_C071_481C_8E97_844F69858952_.wvu.PrintArea" localSheetId="9" hidden="1">'一般3年生(ITスペシャリスト学科)'!$A$1:$F$34</definedName>
    <definedName name="Z_A87E9810_C071_481C_8E97_844F69858952_.wvu.PrintArea" localSheetId="8" hidden="1">'一般3年生(情報処理技術学科3年課程)'!$A$1:$F$34</definedName>
    <definedName name="Z_A87E9810_C071_481C_8E97_844F69858952_.wvu.PrintArea" localSheetId="2" hidden="1">教科書一覧!$A$1:$AB$46</definedName>
    <definedName name="Z_A87E9810_C071_481C_8E97_844F69858952_.wvu.PrintArea" localSheetId="20" hidden="1">留学生2年生!$A$1:$O$32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7" hidden="1">'一般2年生 (情報処理技術学科3年課程)'!$15:$20</definedName>
    <definedName name="Z_A87E9810_C071_481C_8E97_844F69858952_.wvu.Rows" localSheetId="9" hidden="1">'一般3年生(ITスペシャリスト学科)'!$15:$20</definedName>
    <definedName name="Z_A87E9810_C071_481C_8E97_844F69858952_.wvu.Rows" localSheetId="8" hidden="1">'一般3年生(情報処理技術学科3年課程)'!$15:$20</definedName>
    <definedName name="Z_A87E9810_C071_481C_8E97_844F69858952_.wvu.Rows" localSheetId="10" hidden="1">一般4年生!$15:$20</definedName>
    <definedName name="Z_A87E9810_C071_481C_8E97_844F69858952_.wvu.Rows" localSheetId="2" hidden="1">教科書一覧!$32:$32,教科書一覧!$34:$34</definedName>
    <definedName name="教科書リスト">教科書一覧!$B$5:$B$44</definedName>
    <definedName name="教科書一覧">教科書一覧!$B$5:$D$44</definedName>
  </definedNames>
  <calcPr calcId="145621"/>
  <customWorkbookViews>
    <customWorkbookView name="kanrisha - 個人用ビュー" guid="{A87E9810-C071-481C-8E97-844F69858952}" mergeInterval="0" personalView="1" maximized="1" xWindow="-8" yWindow="-8" windowWidth="1382" windowHeight="744" tabRatio="845" activeSheetId="22"/>
    <customWorkbookView name="ueda - 個人用ビュー" guid="{8C3311D4-BF6B-4714-8FEE-EF832EA44719}" mergeInterval="0" personalView="1" maximized="1" windowWidth="1362" windowHeight="538" tabRatio="845" activeSheetId="14" showComments="commIndAndComment"/>
  </customWorkbookViews>
</workbook>
</file>

<file path=xl/calcChain.xml><?xml version="1.0" encoding="utf-8"?>
<calcChain xmlns="http://schemas.openxmlformats.org/spreadsheetml/2006/main">
  <c r="E34" i="12" l="1"/>
  <c r="E34" i="23" l="1"/>
  <c r="E29" i="23"/>
  <c r="I26" i="23"/>
  <c r="H26" i="23"/>
  <c r="G26" i="23"/>
  <c r="F26" i="23"/>
  <c r="E26" i="23"/>
  <c r="E26" i="11" l="1"/>
  <c r="E26" i="22" l="1"/>
  <c r="J7" i="17" l="1"/>
  <c r="J6" i="17"/>
  <c r="J5" i="17"/>
  <c r="J5" i="12"/>
  <c r="T16" i="2" l="1"/>
  <c r="J5" i="18"/>
  <c r="J6" i="18"/>
  <c r="J7" i="12"/>
  <c r="J6" i="12"/>
  <c r="J9" i="12"/>
  <c r="L11" i="1" s="1"/>
  <c r="J8" i="12" l="1"/>
  <c r="L10" i="1" s="1"/>
  <c r="J9" i="17"/>
  <c r="L3" i="1" s="1"/>
  <c r="J8" i="17"/>
  <c r="L2" i="1" s="1"/>
  <c r="E36" i="12"/>
  <c r="N7" i="2" s="1"/>
  <c r="E29" i="22" l="1"/>
  <c r="AC7" i="2" s="1"/>
  <c r="E29" i="17"/>
  <c r="U7" i="2" s="1"/>
  <c r="E28" i="17"/>
  <c r="T7" i="2" s="1"/>
  <c r="E29" i="6" l="1"/>
  <c r="E29" i="7"/>
  <c r="J7" i="2" s="1"/>
  <c r="E29" i="8"/>
  <c r="K7" i="2" s="1"/>
  <c r="E29" i="9"/>
  <c r="L7" i="2" s="1"/>
  <c r="E29" i="10"/>
  <c r="E29" i="11"/>
  <c r="M7" i="2" s="1"/>
  <c r="E37" i="12"/>
  <c r="O7" i="2" s="1"/>
  <c r="E29" i="13"/>
  <c r="P7" i="2" s="1"/>
  <c r="E29" i="14"/>
  <c r="Q7" i="2" s="1"/>
  <c r="E29" i="15"/>
  <c r="R7" i="2" s="1"/>
  <c r="E29" i="16"/>
  <c r="S7" i="2" s="1"/>
  <c r="E29" i="18"/>
  <c r="E29" i="19"/>
  <c r="X7" i="2" s="1"/>
  <c r="E29" i="20"/>
  <c r="E27" i="21"/>
  <c r="E29" i="5"/>
  <c r="G7" i="2" s="1"/>
  <c r="F42" i="12"/>
  <c r="N11" i="1" s="1"/>
  <c r="E34" i="14"/>
  <c r="N12" i="1" s="1"/>
  <c r="E34" i="6"/>
  <c r="N8" i="1" s="1"/>
  <c r="E34" i="7"/>
  <c r="N17" i="1" s="1"/>
  <c r="E34" i="8"/>
  <c r="N15" i="1" s="1"/>
  <c r="E34" i="9"/>
  <c r="N18" i="1" s="1"/>
  <c r="E34" i="10"/>
  <c r="N19" i="1" s="1"/>
  <c r="E34" i="11"/>
  <c r="E42" i="12"/>
  <c r="N10" i="1" s="1"/>
  <c r="E34" i="13"/>
  <c r="N14" i="1" s="1"/>
  <c r="E34" i="15"/>
  <c r="N16" i="1" s="1"/>
  <c r="E34" i="16"/>
  <c r="N13" i="1" s="1"/>
  <c r="E34" i="17"/>
  <c r="N2" i="1" s="1"/>
  <c r="E34" i="18"/>
  <c r="N5" i="1" s="1"/>
  <c r="E34" i="19"/>
  <c r="N6" i="1" s="1"/>
  <c r="E34" i="20"/>
  <c r="N23" i="1" s="1"/>
  <c r="E32" i="21"/>
  <c r="N27" i="1" s="1"/>
  <c r="E34" i="22"/>
  <c r="N29" i="1" s="1"/>
  <c r="E34" i="5"/>
  <c r="N7" i="1" s="1"/>
  <c r="E4" i="10"/>
  <c r="E4" i="14"/>
  <c r="J4" i="18"/>
  <c r="Z7" i="2" l="1"/>
  <c r="Y7" i="2"/>
  <c r="W7" i="2"/>
  <c r="V7" i="2"/>
  <c r="AA7" i="2"/>
  <c r="AB7" i="2"/>
  <c r="I7" i="2"/>
  <c r="H7" i="2"/>
  <c r="N4" i="1"/>
  <c r="N9" i="1"/>
  <c r="N21" i="1"/>
  <c r="N22" i="1"/>
  <c r="N24" i="1"/>
  <c r="N26" i="1"/>
  <c r="N28" i="1"/>
  <c r="N20" i="1"/>
  <c r="N25" i="1"/>
  <c r="J8" i="18"/>
  <c r="L5" i="1" s="1"/>
  <c r="J7" i="18"/>
  <c r="L4" i="1" s="1"/>
  <c r="N3" i="1"/>
  <c r="F25" i="21"/>
  <c r="L26" i="1" s="1"/>
  <c r="G25" i="21"/>
  <c r="L27" i="1" s="1"/>
  <c r="H25" i="21"/>
  <c r="L24" i="1" s="1"/>
  <c r="I25" i="21"/>
  <c r="L25" i="1" s="1"/>
  <c r="F25" i="20"/>
  <c r="L23" i="1" s="1"/>
  <c r="G11" i="2" l="1"/>
  <c r="C4" i="2" s="1"/>
  <c r="H11" i="2"/>
  <c r="C5" i="2" s="1"/>
  <c r="I11" i="2"/>
  <c r="C6" i="2" s="1"/>
  <c r="J11" i="2"/>
  <c r="C7" i="2" s="1"/>
  <c r="K11" i="2"/>
  <c r="C8" i="2" s="1"/>
  <c r="L11" i="2"/>
  <c r="C9" i="2" s="1"/>
  <c r="M11" i="2"/>
  <c r="N11" i="2"/>
  <c r="C11" i="2" s="1"/>
  <c r="O11" i="2"/>
  <c r="P11" i="2"/>
  <c r="C13" i="2" s="1"/>
  <c r="Q11" i="2"/>
  <c r="R11" i="2"/>
  <c r="C15" i="2" s="1"/>
  <c r="S11" i="2"/>
  <c r="T11" i="2"/>
  <c r="C17" i="2" s="1"/>
  <c r="U11" i="2"/>
  <c r="V11" i="2"/>
  <c r="C19" i="2" s="1"/>
  <c r="W11" i="2"/>
  <c r="X11" i="2"/>
  <c r="C21" i="2" s="1"/>
  <c r="Y11" i="2"/>
  <c r="Z11" i="2"/>
  <c r="C23" i="2" s="1"/>
  <c r="AA11" i="2"/>
  <c r="AB11" i="2"/>
  <c r="C25" i="2" s="1"/>
  <c r="AC11" i="2"/>
  <c r="C16" i="2" l="1"/>
  <c r="M13" i="1" s="1"/>
  <c r="C14" i="2"/>
  <c r="M12" i="1" s="1"/>
  <c r="C12" i="2"/>
  <c r="M11" i="1" s="1"/>
  <c r="C10" i="2"/>
  <c r="M19" i="1" s="1"/>
  <c r="C26" i="2"/>
  <c r="M29" i="1" s="1"/>
  <c r="C22" i="2"/>
  <c r="M23" i="1" s="1"/>
  <c r="C20" i="2"/>
  <c r="M5" i="1" s="1"/>
  <c r="C18" i="2"/>
  <c r="M3" i="1" s="1"/>
  <c r="C24" i="2"/>
  <c r="M27" i="1" s="1"/>
  <c r="M15" i="1"/>
  <c r="M9" i="1"/>
  <c r="M7" i="1"/>
  <c r="M25" i="1"/>
  <c r="M21" i="1"/>
  <c r="M6" i="1"/>
  <c r="M4" i="1"/>
  <c r="M2" i="1"/>
  <c r="M16" i="1"/>
  <c r="M14" i="1"/>
  <c r="M10" i="1"/>
  <c r="M18" i="1"/>
  <c r="M17" i="1"/>
  <c r="M8" i="1"/>
  <c r="M20" i="1"/>
  <c r="M22" i="1" l="1"/>
  <c r="M28" i="1"/>
  <c r="M26" i="1"/>
  <c r="M24" i="1"/>
  <c r="H3" i="3"/>
  <c r="AB2" i="3"/>
  <c r="E36" i="3" s="1"/>
  <c r="L3" i="3"/>
  <c r="AB42" i="3"/>
  <c r="E42" i="3" s="1"/>
  <c r="AB6" i="3"/>
  <c r="E32" i="3"/>
  <c r="AA21" i="3"/>
  <c r="AA10" i="3"/>
  <c r="AA8" i="3"/>
  <c r="E8" i="3" s="1"/>
  <c r="AA6" i="3"/>
  <c r="Z21" i="3"/>
  <c r="Z19" i="3"/>
  <c r="E19" i="3" s="1"/>
  <c r="Z10" i="3"/>
  <c r="Z6" i="3"/>
  <c r="Y21" i="3"/>
  <c r="Y20" i="3"/>
  <c r="Y17" i="3"/>
  <c r="Y10" i="3"/>
  <c r="Y5" i="3"/>
  <c r="X21" i="3"/>
  <c r="X20" i="3"/>
  <c r="X17" i="3"/>
  <c r="X5" i="3"/>
  <c r="W7" i="3"/>
  <c r="E7" i="3" s="1"/>
  <c r="V29" i="3"/>
  <c r="V23" i="3"/>
  <c r="V22" i="3"/>
  <c r="V15" i="3"/>
  <c r="V14" i="3"/>
  <c r="V11" i="3"/>
  <c r="U33" i="3"/>
  <c r="U29" i="3"/>
  <c r="U23" i="3"/>
  <c r="U22" i="3"/>
  <c r="U15" i="3"/>
  <c r="U14" i="3"/>
  <c r="T27" i="3"/>
  <c r="T22" i="3"/>
  <c r="T20" i="3"/>
  <c r="T5" i="3"/>
  <c r="S27" i="3"/>
  <c r="S22" i="3"/>
  <c r="S20" i="3"/>
  <c r="S5" i="3"/>
  <c r="Q33" i="3"/>
  <c r="Q29" i="3"/>
  <c r="Q24" i="3"/>
  <c r="Q23" i="3"/>
  <c r="Q22" i="3"/>
  <c r="Q15" i="3"/>
  <c r="O33" i="3"/>
  <c r="O29" i="3"/>
  <c r="O23" i="3"/>
  <c r="O24" i="3"/>
  <c r="O22" i="3"/>
  <c r="O15" i="3"/>
  <c r="N28" i="3"/>
  <c r="E28" i="3" s="1"/>
  <c r="N27" i="3"/>
  <c r="N20" i="3"/>
  <c r="N14" i="3"/>
  <c r="N13" i="3"/>
  <c r="E13" i="3" s="1"/>
  <c r="N12" i="3"/>
  <c r="E12" i="3" s="1"/>
  <c r="N15" i="3"/>
  <c r="N11" i="3"/>
  <c r="N5" i="3"/>
  <c r="M33" i="3"/>
  <c r="M27" i="3"/>
  <c r="M22" i="3"/>
  <c r="M20" i="3"/>
  <c r="M15" i="3"/>
  <c r="M11" i="3"/>
  <c r="M5" i="3"/>
  <c r="K41" i="3"/>
  <c r="E41" i="3" s="1"/>
  <c r="J40" i="3"/>
  <c r="J37" i="3"/>
  <c r="E37" i="3" s="1"/>
  <c r="J31" i="3"/>
  <c r="I40" i="3"/>
  <c r="I31" i="3"/>
  <c r="G39" i="3"/>
  <c r="G35" i="3"/>
  <c r="G30" i="3"/>
  <c r="G25" i="3"/>
  <c r="G22" i="3"/>
  <c r="G9" i="3"/>
  <c r="F9" i="3"/>
  <c r="F39" i="3"/>
  <c r="F35" i="3"/>
  <c r="F30" i="3"/>
  <c r="F25" i="3"/>
  <c r="F22" i="3"/>
  <c r="P3" i="3"/>
  <c r="R3" i="3"/>
  <c r="K3" i="3"/>
  <c r="E30" i="3" l="1"/>
  <c r="E5" i="3"/>
  <c r="X3" i="3"/>
  <c r="AB18" i="3"/>
  <c r="E18" i="3" s="1"/>
  <c r="W3" i="3"/>
  <c r="E25" i="3"/>
  <c r="E35" i="3"/>
  <c r="E9" i="3"/>
  <c r="E40" i="3"/>
  <c r="E11" i="3"/>
  <c r="E27" i="3"/>
  <c r="E39" i="3"/>
  <c r="E14" i="3"/>
  <c r="E20" i="3"/>
  <c r="E34" i="3"/>
  <c r="E33" i="3"/>
  <c r="E24" i="3"/>
  <c r="E15" i="3"/>
  <c r="AB16" i="3"/>
  <c r="E16" i="3" s="1"/>
  <c r="E10" i="3"/>
  <c r="E6" i="3"/>
  <c r="E17" i="3"/>
  <c r="E21" i="3"/>
  <c r="E31" i="3"/>
  <c r="E23" i="3"/>
  <c r="E22" i="3"/>
  <c r="E29" i="3"/>
  <c r="AA3" i="3"/>
  <c r="Z3" i="3"/>
  <c r="Y3" i="3"/>
  <c r="V3" i="3"/>
  <c r="U3" i="3"/>
  <c r="T3" i="3"/>
  <c r="S3" i="3"/>
  <c r="Q3" i="3"/>
  <c r="O3" i="3"/>
  <c r="N3" i="3"/>
  <c r="M3" i="3"/>
  <c r="J3" i="3"/>
  <c r="I3" i="3"/>
  <c r="G3" i="3"/>
  <c r="F3" i="3"/>
  <c r="AB3" i="3" l="1"/>
  <c r="O10" i="1"/>
  <c r="O11" i="1"/>
  <c r="O4" i="1"/>
  <c r="O27" i="1"/>
  <c r="O26" i="1"/>
  <c r="O25" i="1"/>
  <c r="O24" i="1"/>
  <c r="O23" i="1"/>
  <c r="O5" i="1"/>
  <c r="O3" i="1"/>
  <c r="O2" i="1"/>
  <c r="E26" i="8"/>
  <c r="L15" i="1" s="1"/>
  <c r="O15" i="1" s="1"/>
  <c r="F26" i="22" l="1"/>
  <c r="I26" i="22"/>
  <c r="H26" i="22"/>
  <c r="G26" i="22"/>
  <c r="M25" i="21"/>
  <c r="L25" i="21"/>
  <c r="K25" i="21"/>
  <c r="J25" i="21"/>
  <c r="E25" i="21"/>
  <c r="G25" i="20"/>
  <c r="L28" i="1" l="1"/>
  <c r="L29" i="1"/>
  <c r="L21" i="1"/>
  <c r="O21" i="1" s="1"/>
  <c r="L22" i="1"/>
  <c r="O22" i="1" s="1"/>
  <c r="L20" i="1"/>
  <c r="O20" i="1" s="1"/>
  <c r="O29" i="1"/>
  <c r="O28" i="1"/>
  <c r="E25" i="20"/>
  <c r="E26" i="19"/>
  <c r="L6" i="1" s="1"/>
  <c r="O6" i="1" s="1"/>
  <c r="E26" i="18"/>
  <c r="E26" i="17"/>
  <c r="L19" i="1"/>
  <c r="O19" i="1" s="1"/>
  <c r="E26" i="10"/>
  <c r="E26" i="9"/>
  <c r="L18" i="1" s="1"/>
  <c r="O18" i="1" s="1"/>
  <c r="E26" i="15"/>
  <c r="L16" i="1" s="1"/>
  <c r="O16" i="1" s="1"/>
  <c r="E26" i="13"/>
  <c r="L14" i="1" s="1"/>
  <c r="O14" i="1" s="1"/>
  <c r="E26" i="7"/>
  <c r="L17" i="1" s="1"/>
  <c r="O17" i="1" s="1"/>
  <c r="E26" i="16"/>
  <c r="L13" i="1" s="1"/>
  <c r="O13" i="1" s="1"/>
  <c r="E26" i="14"/>
  <c r="L12" i="1" s="1"/>
  <c r="O12" i="1" s="1"/>
  <c r="E26" i="6"/>
  <c r="E26" i="5"/>
  <c r="L7" i="1" s="1"/>
  <c r="O7" i="1" s="1"/>
  <c r="L8" i="1" l="1"/>
  <c r="O8" i="1" s="1"/>
  <c r="L9" i="1"/>
  <c r="O9" i="1" s="1"/>
</calcChain>
</file>

<file path=xl/comments1.xml><?xml version="1.0" encoding="utf-8"?>
<comments xmlns="http://schemas.openxmlformats.org/spreadsheetml/2006/main">
  <authors>
    <author>work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AB36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sharedStrings.xml><?xml version="1.0" encoding="utf-8"?>
<sst xmlns="http://schemas.openxmlformats.org/spreadsheetml/2006/main" count="1084" uniqueCount="419">
  <si>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</si>
  <si>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</si>
  <si>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</si>
  <si>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</si>
  <si>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</si>
  <si>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</si>
  <si>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</si>
  <si>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</si>
  <si>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</si>
  <si>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秀和システム</t>
    <rPh sb="0" eb="2">
      <t>シュウワ</t>
    </rPh>
    <phoneticPr fontId="1"/>
  </si>
  <si>
    <t>確かな力が身につくJavaScript「超」入門</t>
  </si>
  <si>
    <t>SBクリエイティブ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</si>
  <si>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</si>
  <si>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</si>
  <si>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</si>
  <si>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</si>
  <si>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IPA 情報セキュリティ読本 四訂版</t>
    <rPh sb="4" eb="6">
      <t>ジョウホウ</t>
    </rPh>
    <rPh sb="12" eb="14">
      <t>ドクホン</t>
    </rPh>
    <rPh sb="15" eb="16">
      <t>ヨン</t>
    </rPh>
    <rPh sb="16" eb="17">
      <t>テイ</t>
    </rPh>
    <rPh sb="17" eb="18">
      <t>バン</t>
    </rPh>
    <phoneticPr fontId="1"/>
  </si>
  <si>
    <t>HTML5&amp;CSS3 ワークブック</t>
    <phoneticPr fontId="1"/>
  </si>
  <si>
    <t>カットシステム</t>
    <phoneticPr fontId="1"/>
  </si>
  <si>
    <t>留学生のための漢字の教科書　初級</t>
    <rPh sb="0" eb="3">
      <t>リュウガクセイ</t>
    </rPh>
    <rPh sb="7" eb="9">
      <t>カンジ</t>
    </rPh>
    <rPh sb="10" eb="13">
      <t>キョウカショ</t>
    </rPh>
    <rPh sb="14" eb="16">
      <t>ショキュウ</t>
    </rPh>
    <phoneticPr fontId="1"/>
  </si>
  <si>
    <t>国書刊行会</t>
    <phoneticPr fontId="1"/>
  </si>
  <si>
    <t>ひつじ書房</t>
    <rPh sb="3" eb="5">
      <t>ショボウ</t>
    </rPh>
    <phoneticPr fontId="1"/>
  </si>
  <si>
    <t>新JavaScript ワークブック</t>
    <rPh sb="0" eb="1">
      <t>シン</t>
    </rPh>
    <phoneticPr fontId="1"/>
  </si>
  <si>
    <t>エクスナレッジムック</t>
    <phoneticPr fontId="1"/>
  </si>
  <si>
    <t>やさしく学ぶJw_cad★デラックス</t>
    <phoneticPr fontId="1"/>
  </si>
  <si>
    <t>翔泳社</t>
    <phoneticPr fontId="1"/>
  </si>
  <si>
    <t>SQLの絵本</t>
    <phoneticPr fontId="1"/>
  </si>
  <si>
    <t>留学生のための漢字の教科書　中級</t>
    <rPh sb="0" eb="3">
      <t>リュウガクセイ</t>
    </rPh>
    <rPh sb="7" eb="9">
      <t>カンジ</t>
    </rPh>
    <rPh sb="10" eb="13">
      <t>キョウカショ</t>
    </rPh>
    <rPh sb="14" eb="16">
      <t>チュウキュウ</t>
    </rPh>
    <phoneticPr fontId="1"/>
  </si>
  <si>
    <t>スリーエーネットワーク</t>
    <phoneticPr fontId="1"/>
  </si>
  <si>
    <t>新星出版</t>
    <phoneticPr fontId="1"/>
  </si>
  <si>
    <t>FOM出版</t>
  </si>
  <si>
    <t>FOM出版</t>
    <phoneticPr fontId="1"/>
  </si>
  <si>
    <t>ITパスポート試験対策テキスト</t>
  </si>
  <si>
    <t>生徒数0</t>
    <phoneticPr fontId="1"/>
  </si>
  <si>
    <t>日商簿記検定問題集3級</t>
  </si>
  <si>
    <t>サービス接遇検定3級　受験ガイド改訂版</t>
  </si>
  <si>
    <t>職業教育・キャリア教育財団</t>
  </si>
  <si>
    <t>早稲田教育出版</t>
    <phoneticPr fontId="1"/>
  </si>
  <si>
    <t>アルゴリズムの絵本</t>
    <phoneticPr fontId="1"/>
  </si>
  <si>
    <t>データベース＋Ａｃｃｅｓｓ2007/2010</t>
  </si>
  <si>
    <t>教科担当</t>
    <phoneticPr fontId="1"/>
  </si>
  <si>
    <t>教科担当</t>
    <phoneticPr fontId="1"/>
  </si>
  <si>
    <t>実況出版</t>
    <rPh sb="0" eb="2">
      <t>ジッキョウ</t>
    </rPh>
    <rPh sb="2" eb="4">
      <t>シュッパン</t>
    </rPh>
    <phoneticPr fontId="1"/>
  </si>
  <si>
    <t>B検ビジネス能力検定　ジョブパス3級公式テキスト</t>
    <phoneticPr fontId="1"/>
  </si>
  <si>
    <t>秘書検定3級　ケーススタディで学ぶ集中講義</t>
    <phoneticPr fontId="1"/>
  </si>
  <si>
    <t>SBクリエイティブ</t>
    <phoneticPr fontId="1"/>
  </si>
  <si>
    <t>選定担当</t>
    <rPh sb="0" eb="2">
      <t>センテイ</t>
    </rPh>
    <rPh sb="2" eb="4">
      <t>タントウ</t>
    </rPh>
    <phoneticPr fontId="1"/>
  </si>
  <si>
    <t>馬込</t>
    <rPh sb="0" eb="2">
      <t>マゴメ</t>
    </rPh>
    <phoneticPr fontId="1"/>
  </si>
  <si>
    <t>これが本当のSPI3だ! 【2018年度版】</t>
    <phoneticPr fontId="1"/>
  </si>
  <si>
    <t>洋泉社</t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</si>
  <si>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</si>
  <si>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</si>
  <si>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</si>
  <si>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</si>
  <si>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</si>
  <si>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一般2年生 (情報処理技術学科3年課程)</t>
  </si>
  <si>
    <t>一般3年生(情報処理技術学科3年課程)</t>
  </si>
  <si>
    <t>一般3年生(ITスペシャリスト学科)</t>
  </si>
  <si>
    <t>一般4年生</t>
  </si>
  <si>
    <t>一般1年生 (キャリアデザイン)</t>
  </si>
  <si>
    <t>一般2年生 (キャリアデザイン)</t>
  </si>
  <si>
    <t>一般1年生 (スポーツ福祉)</t>
  </si>
  <si>
    <t>一般2年生 (スポーツ福祉)</t>
  </si>
  <si>
    <t>一般1年生 (パソコン事務)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</si>
  <si>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</si>
  <si>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</si>
  <si>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</si>
  <si>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</si>
  <si>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</si>
  <si>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</si>
  <si>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</si>
  <si>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作業状況：完了</t>
  </si>
  <si>
    <t>各クラスの教科書選定状況</t>
  </si>
  <si>
    <t>購入</t>
    <rPh sb="0" eb="2">
      <t>コウニュウ</t>
    </rPh>
    <phoneticPr fontId="1"/>
  </si>
  <si>
    <t>いちばんよくわかるWebデザインの基本</t>
  </si>
  <si>
    <t>は選択授業</t>
    <phoneticPr fontId="1"/>
  </si>
  <si>
    <t>にほんごで働くビジネス日本語30時間</t>
    <phoneticPr fontId="1"/>
  </si>
  <si>
    <t>Web系</t>
    <phoneticPr fontId="1"/>
  </si>
  <si>
    <t>セル系</t>
    <phoneticPr fontId="1"/>
  </si>
  <si>
    <t>コンピュータ会計　初級　テキスト・問題集 弥生会計</t>
    <phoneticPr fontId="1"/>
  </si>
  <si>
    <t>2017年版 ビジネス能力検定公式ジョブパス３級公式テキスト　</t>
  </si>
  <si>
    <t>株式会社 日本能率協会マネジメントセンター</t>
  </si>
  <si>
    <t>スラスラわかるHTML＆CSSのきほん</t>
  </si>
  <si>
    <t>30時間でマスター　Word&amp;Excel2013</t>
  </si>
  <si>
    <t>よくわかるマスター基本情報技術者試験　対策テキスト　平成29-30年度版
プリント（pdf）</t>
    <rPh sb="9" eb="11">
      <t>キホン</t>
    </rPh>
    <rPh sb="11" eb="13">
      <t>ジョウホウ</t>
    </rPh>
    <rPh sb="13" eb="16">
      <t>ギジュツシャ</t>
    </rPh>
    <rPh sb="16" eb="18">
      <t>シケン</t>
    </rPh>
    <rPh sb="19" eb="21">
      <t>タイサク</t>
    </rPh>
    <rPh sb="26" eb="28">
      <t>ヘイセイ</t>
    </rPh>
    <rPh sb="33" eb="34">
      <t>ネン</t>
    </rPh>
    <rPh sb="34" eb="35">
      <t>ド</t>
    </rPh>
    <rPh sb="35" eb="36">
      <t>バン</t>
    </rPh>
    <phoneticPr fontId="1"/>
  </si>
  <si>
    <t>FOM出版</t>
    <rPh sb="3" eb="5">
      <t>シュッパン</t>
    </rPh>
    <phoneticPr fontId="1"/>
  </si>
  <si>
    <t>スッキリわかるJava入門 第2版</t>
  </si>
  <si>
    <t>インプレス</t>
  </si>
  <si>
    <t>いちばんよくわかるWebデザインの基本きちんと入門</t>
  </si>
  <si>
    <t xml:space="preserve">スッキリわかるサーブレット＆JSP入門 </t>
  </si>
  <si>
    <t>デバッグ力でスキルアップ!ExcelVBAのプログラミングのツボとコツがゼッタイにわかる本</t>
  </si>
  <si>
    <t>徹底攻略 Java SE 7/8 Bronze 問題集[1Z0-814]対応</t>
  </si>
  <si>
    <t>詳細! PHP 7+MySQL 入門ノート</t>
  </si>
  <si>
    <t>ソーテック社</t>
  </si>
  <si>
    <t>30時間でマスター　プレゼンテーション+PowerPoint2010</t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</si>
  <si>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</si>
  <si>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</si>
  <si>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</si>
  <si>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学科</t>
    <rPh sb="0" eb="2">
      <t>ガッカ</t>
    </rPh>
    <phoneticPr fontId="1"/>
  </si>
  <si>
    <t>コース</t>
  </si>
  <si>
    <t>選択コース</t>
    <rPh sb="0" eb="2">
      <t>センタク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</si>
  <si>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</si>
  <si>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</si>
  <si>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</si>
  <si>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</si>
  <si>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アスリート</t>
  </si>
  <si>
    <t>IT技術ビジネスライセンス学科　３年課程</t>
  </si>
  <si>
    <t>アスリートコース　1年</t>
    <rPh sb="10" eb="11">
      <t>ネン</t>
    </rPh>
    <phoneticPr fontId="1"/>
  </si>
  <si>
    <t>F</t>
  </si>
  <si>
    <t>アスリートコース　2年</t>
    <rPh sb="10" eb="11">
      <t>ネン</t>
    </rPh>
    <phoneticPr fontId="1"/>
  </si>
  <si>
    <t>林</t>
    <rPh sb="0" eb="1">
      <t>ハヤシ</t>
    </rPh>
    <phoneticPr fontId="1"/>
  </si>
  <si>
    <t>アスリートコース　3年</t>
    <rPh sb="10" eb="11">
      <t>ネン</t>
    </rPh>
    <phoneticPr fontId="1"/>
  </si>
  <si>
    <t>有田</t>
    <rPh sb="0" eb="2">
      <t>アリタ</t>
    </rPh>
    <phoneticPr fontId="1"/>
  </si>
  <si>
    <t>一般生</t>
    <rPh sb="0" eb="2">
      <t>イッパン</t>
    </rPh>
    <rPh sb="2" eb="3">
      <t>セイ</t>
    </rPh>
    <phoneticPr fontId="1"/>
  </si>
  <si>
    <t>情報処理技術学科2年課程</t>
  </si>
  <si>
    <t>A</t>
  </si>
  <si>
    <t>情報処理技術学科3年課程</t>
  </si>
  <si>
    <t>B</t>
  </si>
  <si>
    <t>キャリアデザイン</t>
  </si>
  <si>
    <t>C</t>
  </si>
  <si>
    <t>スポーツ福祉</t>
  </si>
  <si>
    <t>D</t>
  </si>
  <si>
    <t>パソコン事務</t>
  </si>
  <si>
    <t>E</t>
  </si>
  <si>
    <t>情報ビジネス学科　２年課程</t>
  </si>
  <si>
    <t>キャリアデザインコース</t>
  </si>
  <si>
    <t>情報処理技術学科　３年課程</t>
  </si>
  <si>
    <t>システムエンジニアコース</t>
  </si>
  <si>
    <t>古賀</t>
    <rPh sb="0" eb="2">
      <t>コガ</t>
    </rPh>
    <phoneticPr fontId="1"/>
  </si>
  <si>
    <t>IT技術ビジネスライセンス学科　２年課程</t>
  </si>
  <si>
    <t>スポーツ福祉コース</t>
  </si>
  <si>
    <t>情報処理技術学科　２年課程</t>
  </si>
  <si>
    <t>プログラマコース</t>
  </si>
  <si>
    <t>伴</t>
    <rPh sb="0" eb="1">
      <t>バン</t>
    </rPh>
    <phoneticPr fontId="1"/>
  </si>
  <si>
    <t>ITスペシャリスト学科</t>
  </si>
  <si>
    <t>西田</t>
    <rPh sb="0" eb="2">
      <t>ニシダ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</si>
  <si>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</si>
  <si>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</si>
  <si>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IT応用技術（留学生）コース</t>
  </si>
  <si>
    <t>IT技術ビジネスライセンス学科　2年課程</t>
    <rPh sb="2" eb="4">
      <t>ギジュツ</t>
    </rPh>
    <rPh sb="13" eb="15">
      <t>ガッカ</t>
    </rPh>
    <rPh sb="17" eb="18">
      <t>ネン</t>
    </rPh>
    <rPh sb="18" eb="20">
      <t>カテイ</t>
    </rPh>
    <phoneticPr fontId="1"/>
  </si>
  <si>
    <t>IT基本技術（留学生）コース</t>
  </si>
  <si>
    <t>ITスペシャリスト（留学生）コース</t>
  </si>
  <si>
    <t>i</t>
    <phoneticPr fontId="1"/>
  </si>
  <si>
    <t>ITスペシャリスト学科</t>
    <phoneticPr fontId="1"/>
  </si>
  <si>
    <t>Excel 2013 対策テキスト&amp; 問題集</t>
    <phoneticPr fontId="1"/>
  </si>
  <si>
    <t>Word 2013 対策テキスト&amp; 問題集</t>
    <phoneticPr fontId="1"/>
  </si>
  <si>
    <t>※留学生は2年課程・3年課程を案分</t>
    <rPh sb="1" eb="4">
      <t>リュウガクセイ</t>
    </rPh>
    <rPh sb="6" eb="7">
      <t>ネン</t>
    </rPh>
    <rPh sb="7" eb="9">
      <t>カテイ</t>
    </rPh>
    <rPh sb="11" eb="12">
      <t>ネン</t>
    </rPh>
    <rPh sb="12" eb="14">
      <t>カテイ</t>
    </rPh>
    <rPh sb="15" eb="17">
      <t>アンブン</t>
    </rPh>
    <phoneticPr fontId="1"/>
  </si>
  <si>
    <t>冊数</t>
    <rPh sb="0" eb="2">
      <t>サッスウ</t>
    </rPh>
    <phoneticPr fontId="1"/>
  </si>
  <si>
    <t>発注人数(4/1)</t>
    <rPh sb="0" eb="2">
      <t>ハッチュウ</t>
    </rPh>
    <rPh sb="2" eb="4">
      <t>ニンズウ</t>
    </rPh>
    <phoneticPr fontId="1"/>
  </si>
  <si>
    <t>3/24
在席</t>
    <rPh sb="5" eb="7">
      <t>ザイセキ</t>
    </rPh>
    <phoneticPr fontId="1"/>
  </si>
  <si>
    <t>4月1日より復学する学生</t>
    <rPh sb="1" eb="2">
      <t>ガツ</t>
    </rPh>
    <rPh sb="3" eb="4">
      <t>ニチ</t>
    </rPh>
    <rPh sb="6" eb="8">
      <t>フクガク</t>
    </rPh>
    <rPh sb="10" eb="12">
      <t>ガクセイ</t>
    </rPh>
    <phoneticPr fontId="1"/>
  </si>
  <si>
    <t>大橋校</t>
    <rPh sb="0" eb="2">
      <t>オオハシ</t>
    </rPh>
    <rPh sb="2" eb="3">
      <t>コウ</t>
    </rPh>
    <phoneticPr fontId="1"/>
  </si>
  <si>
    <t>情報処理技術学科3年課程</t>
    <rPh sb="0" eb="2">
      <t>ジョウホウ</t>
    </rPh>
    <rPh sb="2" eb="4">
      <t>ショリ</t>
    </rPh>
    <rPh sb="4" eb="6">
      <t>ギジュツ</t>
    </rPh>
    <rPh sb="6" eb="8">
      <t>ガッカ</t>
    </rPh>
    <rPh sb="9" eb="10">
      <t>ネン</t>
    </rPh>
    <rPh sb="10" eb="12">
      <t>カテイ</t>
    </rPh>
    <phoneticPr fontId="1"/>
  </si>
  <si>
    <t>天神校</t>
    <rPh sb="0" eb="2">
      <t>テンジン</t>
    </rPh>
    <rPh sb="2" eb="3">
      <t>コウ</t>
    </rPh>
    <phoneticPr fontId="1"/>
  </si>
  <si>
    <t>30時間でマスタープレゼンテーション＋PowerPoint2013</t>
    <rPh sb="2" eb="4">
      <t>ジカン</t>
    </rPh>
    <phoneticPr fontId="1"/>
  </si>
  <si>
    <t>ITパスポート完全合格教本〈2016年度版〉　(情報処理技術者試験)</t>
    <phoneticPr fontId="1"/>
  </si>
  <si>
    <t>日本で学ぶ留学生のための中級日本語教科書　出会い　別冊</t>
    <rPh sb="0" eb="2">
      <t>ニホン</t>
    </rPh>
    <rPh sb="3" eb="4">
      <t>マナ</t>
    </rPh>
    <rPh sb="5" eb="8">
      <t>リュウガクセイ</t>
    </rPh>
    <rPh sb="12" eb="14">
      <t>チュウキュウ</t>
    </rPh>
    <rPh sb="14" eb="17">
      <t>ニホンゴ</t>
    </rPh>
    <rPh sb="17" eb="20">
      <t>キョウカショ</t>
    </rPh>
    <rPh sb="21" eb="23">
      <t>デア</t>
    </rPh>
    <rPh sb="25" eb="27">
      <t>ベッサツ</t>
    </rPh>
    <phoneticPr fontId="1"/>
  </si>
  <si>
    <t>Webﾃﾞｻﾞｲﾝの基本　きちんと入門</t>
    <phoneticPr fontId="1"/>
  </si>
  <si>
    <t>一般1年
2年
課程</t>
    <rPh sb="0" eb="2">
      <t>イッパン</t>
    </rPh>
    <rPh sb="3" eb="4">
      <t>ネン</t>
    </rPh>
    <rPh sb="6" eb="7">
      <t>ネン</t>
    </rPh>
    <rPh sb="8" eb="10">
      <t>カテイ</t>
    </rPh>
    <phoneticPr fontId="1"/>
  </si>
  <si>
    <t>一般1年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</si>
  <si>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2年課程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</si>
  <si>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</si>
  <si>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一般3年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</si>
  <si>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1年キャリアデザインW</t>
    <rPh sb="1" eb="2">
      <t>ネン</t>
    </rPh>
    <phoneticPr fontId="1"/>
  </si>
  <si>
    <t>1年キャリアデザイン事</t>
    <rPh sb="1" eb="2">
      <t>ネン</t>
    </rPh>
    <rPh sb="10" eb="11">
      <t>コト</t>
    </rPh>
    <phoneticPr fontId="1"/>
  </si>
  <si>
    <t>2年キャリアデザイン</t>
    <rPh sb="1" eb="2">
      <t>ネン</t>
    </rPh>
    <phoneticPr fontId="1"/>
  </si>
  <si>
    <t>1年スポーツ福祉</t>
    <rPh sb="1" eb="2">
      <t>ネン</t>
    </rPh>
    <rPh sb="6" eb="8">
      <t>フクシ</t>
    </rPh>
    <phoneticPr fontId="1"/>
  </si>
  <si>
    <t>2年スポーツ福祉</t>
    <rPh sb="1" eb="2">
      <t>ネン</t>
    </rPh>
    <rPh sb="6" eb="8">
      <t>フクシ</t>
    </rPh>
    <phoneticPr fontId="1"/>
  </si>
  <si>
    <t>1年パソコン事務</t>
    <rPh sb="1" eb="2">
      <t>ネン</t>
    </rPh>
    <rPh sb="6" eb="8">
      <t>ジム</t>
    </rPh>
    <phoneticPr fontId="1"/>
  </si>
  <si>
    <t>アスリート1年
W</t>
    <rPh sb="6" eb="7">
      <t>ネン</t>
    </rPh>
    <phoneticPr fontId="1"/>
  </si>
  <si>
    <t>アスリート1年セル</t>
    <rPh sb="6" eb="7">
      <t>ネン</t>
    </rPh>
    <phoneticPr fontId="1"/>
  </si>
  <si>
    <t>アスリート2年Web</t>
    <rPh sb="6" eb="7">
      <t>ネン</t>
    </rPh>
    <phoneticPr fontId="1"/>
  </si>
  <si>
    <t>アスリート2年セル</t>
    <rPh sb="6" eb="7">
      <t>ネン</t>
    </rPh>
    <phoneticPr fontId="1"/>
  </si>
  <si>
    <t>アスリート3年</t>
    <rPh sb="6" eb="7">
      <t>ネン</t>
    </rPh>
    <phoneticPr fontId="1"/>
  </si>
  <si>
    <t>留学
1年
天神</t>
    <rPh sb="0" eb="2">
      <t>リュウガク</t>
    </rPh>
    <rPh sb="4" eb="5">
      <t>ネン</t>
    </rPh>
    <rPh sb="6" eb="8">
      <t>テンジン</t>
    </rPh>
    <phoneticPr fontId="1"/>
  </si>
  <si>
    <t>留学
1年
大橋</t>
    <rPh sb="0" eb="2">
      <t>リュウガク</t>
    </rPh>
    <rPh sb="4" eb="5">
      <t>ネン</t>
    </rPh>
    <rPh sb="6" eb="8">
      <t>オオハシ</t>
    </rPh>
    <phoneticPr fontId="1"/>
  </si>
  <si>
    <t>留学2年天神</t>
    <rPh sb="0" eb="2">
      <t>リュウガク</t>
    </rPh>
    <rPh sb="3" eb="4">
      <t>ネン</t>
    </rPh>
    <rPh sb="4" eb="6">
      <t>テンジン</t>
    </rPh>
    <phoneticPr fontId="1"/>
  </si>
  <si>
    <t>留学2年大橋</t>
    <rPh sb="0" eb="2">
      <t>リュウガク</t>
    </rPh>
    <rPh sb="3" eb="4">
      <t>ネン</t>
    </rPh>
    <rPh sb="4" eb="6">
      <t>オオハシ</t>
    </rPh>
    <phoneticPr fontId="1"/>
  </si>
  <si>
    <t>留学3年</t>
    <rPh sb="0" eb="2">
      <t>リュウガク</t>
    </rPh>
    <rPh sb="3" eb="4">
      <t>ネン</t>
    </rPh>
    <phoneticPr fontId="1"/>
  </si>
  <si>
    <t>クラス人数</t>
    <rPh sb="3" eb="5">
      <t>ニンズウ</t>
    </rPh>
    <phoneticPr fontId="1"/>
  </si>
  <si>
    <t>一般4年</t>
    <rPh sb="0" eb="2">
      <t>イッパン</t>
    </rPh>
    <rPh sb="3" eb="4">
      <t>ネン</t>
    </rPh>
    <phoneticPr fontId="1"/>
  </si>
  <si>
    <t>4/1
復学/入学</t>
    <rPh sb="4" eb="6">
      <t>フクガク</t>
    </rPh>
    <rPh sb="7" eb="9">
      <t>ニュウガク</t>
    </rPh>
    <phoneticPr fontId="1"/>
  </si>
  <si>
    <t>ITスペシャリスト</t>
    <phoneticPr fontId="1"/>
  </si>
  <si>
    <t>黄色の塗りつぶしは1年生</t>
    <rPh sb="0" eb="2">
      <t>キイロ</t>
    </rPh>
    <rPh sb="3" eb="4">
      <t>ヌ</t>
    </rPh>
    <rPh sb="10" eb="12">
      <t>ネンセイ</t>
    </rPh>
    <phoneticPr fontId="1"/>
  </si>
  <si>
    <t>※パソコン事務科（1年課程）は、未入学の予定</t>
    <rPh sb="5" eb="7">
      <t>ジム</t>
    </rPh>
    <rPh sb="7" eb="8">
      <t>カ</t>
    </rPh>
    <rPh sb="10" eb="11">
      <t>ネン</t>
    </rPh>
    <rPh sb="11" eb="13">
      <t>カテイ</t>
    </rPh>
    <rPh sb="16" eb="17">
      <t>ミ</t>
    </rPh>
    <rPh sb="17" eb="19">
      <t>ニュウガク</t>
    </rPh>
    <rPh sb="20" eb="22">
      <t>ヨテイ</t>
    </rPh>
    <phoneticPr fontId="1"/>
  </si>
  <si>
    <t>伝え方のプロが教える【売上倍増】販促物のつくりかたWord&amp;PowerPointでだれでも・お得に・本格デザイン!</t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</si>
  <si>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</si>
  <si>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</si>
  <si>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</si>
  <si>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</si>
  <si>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一人あたりの冊数</t>
    <rPh sb="0" eb="2">
      <t>ヒトリ</t>
    </rPh>
    <rPh sb="6" eb="8">
      <t>サッスウ</t>
    </rPh>
    <phoneticPr fontId="1"/>
  </si>
  <si>
    <t>-</t>
    <phoneticPr fontId="1"/>
  </si>
  <si>
    <t>一人当たり合計</t>
    <rPh sb="0" eb="2">
      <t>ヒトリ</t>
    </rPh>
    <rPh sb="2" eb="3">
      <t>ア</t>
    </rPh>
    <rPh sb="5" eb="7">
      <t>ゴウケイ</t>
    </rPh>
    <phoneticPr fontId="1"/>
  </si>
  <si>
    <t>NO</t>
    <phoneticPr fontId="1"/>
  </si>
  <si>
    <t>クラス名</t>
    <rPh sb="3" eb="4">
      <t>メイ</t>
    </rPh>
    <phoneticPr fontId="1"/>
  </si>
  <si>
    <t>受験代</t>
    <rPh sb="0" eb="2">
      <t>ジュケン</t>
    </rPh>
    <rPh sb="2" eb="3">
      <t>ダイ</t>
    </rPh>
    <phoneticPr fontId="1"/>
  </si>
  <si>
    <t>一般1年2年課程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</si>
  <si>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一般1年3年課程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</si>
  <si>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ITスペシャリスト</t>
  </si>
  <si>
    <t>一般2年2年課程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</si>
  <si>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</si>
  <si>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一般3年3年課程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</si>
  <si>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アスリート1年W</t>
    <rPh sb="6" eb="7">
      <t>ネン</t>
    </rPh>
    <phoneticPr fontId="1"/>
  </si>
  <si>
    <t>留学1年天神</t>
    <rPh sb="0" eb="2">
      <t>リュウガク</t>
    </rPh>
    <rPh sb="3" eb="4">
      <t>ネン</t>
    </rPh>
    <rPh sb="4" eb="6">
      <t>テンジン</t>
    </rPh>
    <phoneticPr fontId="1"/>
  </si>
  <si>
    <t>留学1年大橋</t>
    <rPh sb="0" eb="2">
      <t>リュウガク</t>
    </rPh>
    <rPh sb="3" eb="4">
      <t>ネン</t>
    </rPh>
    <rPh sb="4" eb="6">
      <t>オオハシ</t>
    </rPh>
    <phoneticPr fontId="1"/>
  </si>
  <si>
    <t>1年</t>
    <rPh sb="1" eb="2">
      <t>ネン</t>
    </rPh>
    <phoneticPr fontId="1"/>
  </si>
  <si>
    <t>クラウス情報</t>
    <rPh sb="4" eb="6">
      <t>ジョウホウ</t>
    </rPh>
    <phoneticPr fontId="1"/>
  </si>
  <si>
    <t>2年</t>
    <rPh sb="1" eb="2">
      <t>ネン</t>
    </rPh>
    <phoneticPr fontId="1"/>
  </si>
  <si>
    <t>3年</t>
    <rPh sb="1" eb="2">
      <t>ネン</t>
    </rPh>
    <phoneticPr fontId="1"/>
  </si>
  <si>
    <t>4年</t>
    <rPh sb="1" eb="2">
      <t>ネン</t>
    </rPh>
    <phoneticPr fontId="1"/>
  </si>
  <si>
    <t>※検定代について</t>
    <rPh sb="1" eb="3">
      <t>ケンテイ</t>
    </rPh>
    <rPh sb="3" eb="4">
      <t>ダイ</t>
    </rPh>
    <phoneticPr fontId="1"/>
  </si>
  <si>
    <t>　検定代金は、最小申込人数に満たない場合、個人申込となるので、「コース別テキスト代」に含まない。</t>
    <rPh sb="1" eb="3">
      <t>ケンテイ</t>
    </rPh>
    <rPh sb="3" eb="5">
      <t>ダイキン</t>
    </rPh>
    <rPh sb="7" eb="9">
      <t>サイショウ</t>
    </rPh>
    <rPh sb="9" eb="11">
      <t>モウシコミ</t>
    </rPh>
    <rPh sb="11" eb="13">
      <t>ニンズウ</t>
    </rPh>
    <rPh sb="14" eb="15">
      <t>ミ</t>
    </rPh>
    <rPh sb="18" eb="20">
      <t>バアイ</t>
    </rPh>
    <rPh sb="21" eb="23">
      <t>コジン</t>
    </rPh>
    <rPh sb="23" eb="25">
      <t>モウシコミ</t>
    </rPh>
    <rPh sb="35" eb="36">
      <t>ベツ</t>
    </rPh>
    <rPh sb="40" eb="41">
      <t>ダイ</t>
    </rPh>
    <rPh sb="43" eb="44">
      <t>フク</t>
    </rPh>
    <phoneticPr fontId="1"/>
  </si>
  <si>
    <t>2年次復学</t>
    <rPh sb="1" eb="3">
      <t>ネンジ</t>
    </rPh>
    <rPh sb="3" eb="5">
      <t>フクガク</t>
    </rPh>
    <phoneticPr fontId="1"/>
  </si>
  <si>
    <r>
      <t>ブィ　ティ　ノック　マイ</t>
    </r>
    <r>
      <rPr>
        <sz val="11"/>
        <color theme="0"/>
        <rFont val="ＭＳ Ｐゴシック"/>
        <family val="3"/>
        <charset val="128"/>
        <scheme val="minor"/>
      </rPr>
      <t>（嶋田先生より連絡）</t>
    </r>
    <rPh sb="13" eb="15">
      <t>シマダ</t>
    </rPh>
    <rPh sb="15" eb="17">
      <t>センセイ</t>
    </rPh>
    <rPh sb="19" eb="21">
      <t>レンラク</t>
    </rPh>
    <phoneticPr fontId="1"/>
  </si>
  <si>
    <r>
      <t>チャン　ティ　トゥ　トゥイ</t>
    </r>
    <r>
      <rPr>
        <sz val="11"/>
        <color theme="0"/>
        <rFont val="ＭＳ Ｐゴシック"/>
        <family val="3"/>
        <charset val="128"/>
        <scheme val="minor"/>
      </rPr>
      <t>（森中先生より連絡）</t>
    </r>
    <rPh sb="14" eb="16">
      <t>モリナカ</t>
    </rPh>
    <rPh sb="16" eb="18">
      <t>センセイ</t>
    </rPh>
    <rPh sb="20" eb="22">
      <t>レンラク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</si>
  <si>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</si>
  <si>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ITスペシャリスト</t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</si>
  <si>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</si>
  <si>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</si>
  <si>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</si>
  <si>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</si>
  <si>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</si>
  <si>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教材等</t>
    <rPh sb="0" eb="2">
      <t>キョウザイ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</si>
  <si>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</si>
  <si>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</si>
  <si>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※卒業写真代　一般生で卒業年次のみ。2016年度の価格は1800円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22" eb="23">
      <t>ネン</t>
    </rPh>
    <rPh sb="23" eb="24">
      <t>ド</t>
    </rPh>
    <rPh sb="25" eb="27">
      <t>カカク</t>
    </rPh>
    <rPh sb="32" eb="33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</si>
  <si>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</si>
  <si>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</si>
  <si>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</si>
  <si>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※1年生：ITスペシャリスト科（4年コース）は情報処理技術学科3年課程と同じ教科書</t>
    <rPh sb="2" eb="3">
      <t>ネン</t>
    </rPh>
    <rPh sb="3" eb="4">
      <t>セイ</t>
    </rPh>
    <rPh sb="14" eb="15">
      <t>カ</t>
    </rPh>
    <rPh sb="17" eb="18">
      <t>ネン</t>
    </rPh>
    <rPh sb="23" eb="25">
      <t>ジョウホウ</t>
    </rPh>
    <rPh sb="25" eb="27">
      <t>ショリ</t>
    </rPh>
    <rPh sb="27" eb="29">
      <t>ギジュツ</t>
    </rPh>
    <rPh sb="29" eb="31">
      <t>ガッカ</t>
    </rPh>
    <rPh sb="32" eb="33">
      <t>ネン</t>
    </rPh>
    <rPh sb="33" eb="35">
      <t>カテイ</t>
    </rPh>
    <rPh sb="36" eb="37">
      <t>オナ</t>
    </rPh>
    <rPh sb="38" eb="41">
      <t>キョウカショ</t>
    </rPh>
    <phoneticPr fontId="1"/>
  </si>
  <si>
    <t>※アスリートの保険代を追加</t>
    <rPh sb="7" eb="9">
      <t>ホケン</t>
    </rPh>
    <rPh sb="9" eb="10">
      <t>ダイ</t>
    </rPh>
    <rPh sb="11" eb="13">
      <t>ツイカ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</si>
  <si>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</si>
  <si>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</si>
  <si>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IT技術ビジネスライセンス学科　3年課程</t>
    <rPh sb="2" eb="4">
      <t>ギジュツ</t>
    </rPh>
    <rPh sb="13" eb="15">
      <t>ガッカ</t>
    </rPh>
    <rPh sb="17" eb="18">
      <t>ネン</t>
    </rPh>
    <rPh sb="18" eb="20">
      <t>カテイ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</si>
  <si>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</si>
  <si>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</si>
  <si>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</si>
  <si>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IT技術ビジネスライセンス学科　（日本語上級）</t>
    <rPh sb="17" eb="20">
      <t>ニホンゴ</t>
    </rPh>
    <rPh sb="20" eb="22">
      <t>ジョウキュウ</t>
    </rPh>
    <phoneticPr fontId="1"/>
  </si>
  <si>
    <t>IT技術ビジネスライセンス学科　（日本語普通）</t>
    <rPh sb="17" eb="20">
      <t>ニホンゴ</t>
    </rPh>
    <rPh sb="20" eb="22">
      <t>フツウ</t>
    </rPh>
    <phoneticPr fontId="1"/>
  </si>
  <si>
    <t>情報処理技術学科　（日本語上級）</t>
    <rPh sb="10" eb="13">
      <t>ニホンゴ</t>
    </rPh>
    <rPh sb="13" eb="15">
      <t>ジョウキュウ</t>
    </rPh>
    <phoneticPr fontId="1"/>
  </si>
  <si>
    <t>情報処理技術学科　（日本語普通）</t>
    <rPh sb="10" eb="13">
      <t>ニホンゴ</t>
    </rPh>
    <rPh sb="13" eb="15">
      <t>フツウ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</si>
  <si>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</si>
  <si>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t>※　　留学生2年生は、3年課程と2年課程でカリキュラムが同一となる為、教科書代は同じ</t>
    <rPh sb="3" eb="6">
      <t>リュウガクセイ</t>
    </rPh>
    <rPh sb="7" eb="9">
      <t>ネンセイ</t>
    </rPh>
    <rPh sb="12" eb="13">
      <t>ネン</t>
    </rPh>
    <rPh sb="13" eb="15">
      <t>カテイ</t>
    </rPh>
    <rPh sb="17" eb="18">
      <t>ネン</t>
    </rPh>
    <rPh sb="18" eb="20">
      <t>カテイ</t>
    </rPh>
    <rPh sb="28" eb="30">
      <t>ドウイツ</t>
    </rPh>
    <rPh sb="33" eb="34">
      <t>タメ</t>
    </rPh>
    <rPh sb="35" eb="38">
      <t>キョウカショ</t>
    </rPh>
    <rPh sb="38" eb="39">
      <t>ダイ</t>
    </rPh>
    <rPh sb="40" eb="41">
      <t>オナ</t>
    </rPh>
    <phoneticPr fontId="1"/>
  </si>
  <si>
    <t>※　　日本語を上級・下級クラスで分別するために、「3年課程」を「上級」クラスとしている。</t>
    <rPh sb="3" eb="6">
      <t>ニホンゴ</t>
    </rPh>
    <rPh sb="7" eb="9">
      <t>ジョウキュウ</t>
    </rPh>
    <rPh sb="10" eb="12">
      <t>カキュウ</t>
    </rPh>
    <rPh sb="16" eb="18">
      <t>ブンベツ</t>
    </rPh>
    <rPh sb="26" eb="27">
      <t>ネン</t>
    </rPh>
    <rPh sb="27" eb="29">
      <t>カテイ</t>
    </rPh>
    <rPh sb="32" eb="34">
      <t>ジョウキュウ</t>
    </rPh>
    <phoneticPr fontId="1"/>
  </si>
  <si>
    <t>演習で身につくソフトウェア設計入門　講座桜花分析設計法とUML　第2版</t>
    <rPh sb="0" eb="2">
      <t>エンシュウ</t>
    </rPh>
    <rPh sb="3" eb="4">
      <t>ミ</t>
    </rPh>
    <rPh sb="13" eb="15">
      <t>セッケイ</t>
    </rPh>
    <rPh sb="15" eb="17">
      <t>ニュウモン</t>
    </rPh>
    <rPh sb="18" eb="20">
      <t>コウザ</t>
    </rPh>
    <rPh sb="20" eb="22">
      <t>オウカ</t>
    </rPh>
    <rPh sb="22" eb="24">
      <t>ブンセキ</t>
    </rPh>
    <rPh sb="24" eb="27">
      <t>セッケイホウ</t>
    </rPh>
    <rPh sb="32" eb="33">
      <t>ダイ</t>
    </rPh>
    <rPh sb="34" eb="35">
      <t>ハン</t>
    </rPh>
    <phoneticPr fontId="1"/>
  </si>
  <si>
    <t>エヌ・ティー・エス</t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</si>
  <si>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</si>
  <si>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</si>
  <si>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</si>
  <si>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</si>
  <si>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</si>
  <si>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</si>
  <si>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</si>
  <si>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</si>
  <si>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なし</t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</si>
  <si>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</si>
  <si>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</si>
  <si>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</si>
  <si>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</si>
  <si>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</si>
  <si>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ファイナンシャルプランナー</t>
    <phoneticPr fontId="1"/>
  </si>
  <si>
    <t>プリント教材費(Web系）</t>
    <rPh sb="4" eb="6">
      <t>キョウザイ</t>
    </rPh>
    <rPh sb="6" eb="7">
      <t>ヒ</t>
    </rPh>
    <rPh sb="11" eb="12">
      <t>ケイ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</si>
  <si>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</si>
  <si>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</si>
  <si>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</si>
  <si>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科目</t>
    <rPh sb="0" eb="2">
      <t>カモク</t>
    </rPh>
    <phoneticPr fontId="1"/>
  </si>
  <si>
    <t>キャリア共通部分</t>
    <rPh sb="4" eb="6">
      <t>キョウツウ</t>
    </rPh>
    <rPh sb="6" eb="8">
      <t>ブブン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</si>
  <si>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</si>
  <si>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</si>
  <si>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Web系 合計</t>
    <rPh sb="3" eb="4">
      <t>ケイ</t>
    </rPh>
    <rPh sb="5" eb="7">
      <t>ゴウケイ</t>
    </rPh>
    <phoneticPr fontId="1"/>
  </si>
  <si>
    <t>事務系　合計</t>
    <rPh sb="0" eb="3">
      <t>ジムケイ</t>
    </rPh>
    <rPh sb="4" eb="6">
      <t>ゴウケイ</t>
    </rPh>
    <phoneticPr fontId="1"/>
  </si>
  <si>
    <t>アスリート共通部分</t>
    <rPh sb="5" eb="7">
      <t>キョウツウ</t>
    </rPh>
    <rPh sb="7" eb="9">
      <t>ブブン</t>
    </rPh>
    <phoneticPr fontId="1"/>
  </si>
  <si>
    <t>セル系</t>
    <rPh sb="2" eb="3">
      <t>ケイ</t>
    </rPh>
    <phoneticPr fontId="1"/>
  </si>
  <si>
    <t>セル系　合計</t>
    <rPh sb="2" eb="3">
      <t>ケイ</t>
    </rPh>
    <rPh sb="4" eb="6">
      <t>ゴウケイ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</si>
  <si>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※■</t>
    </r>
    <r>
      <rPr>
        <sz val="11"/>
        <color theme="1"/>
        <rFont val="ＭＳ Ｐゴシック"/>
        <family val="2"/>
        <charset val="128"/>
        <scheme val="minor"/>
      </rPr>
      <t>　2年生スポーツ福祉コース　高崎　由さんのみ、アスリートコースと
　　　　同じく保険料を3,700円徴収</t>
    </r>
    <rPh sb="4" eb="6">
      <t>ネンセイ</t>
    </rPh>
    <rPh sb="10" eb="12">
      <t>フクシ</t>
    </rPh>
    <rPh sb="16" eb="18">
      <t>タカサキ</t>
    </rPh>
    <rPh sb="19" eb="20">
      <t>ユイ</t>
    </rPh>
    <rPh sb="39" eb="40">
      <t>オナ</t>
    </rPh>
    <rPh sb="42" eb="45">
      <t>ホケンリョウ</t>
    </rPh>
    <rPh sb="51" eb="52">
      <t>エン</t>
    </rPh>
    <rPh sb="52" eb="54">
      <t>チョウシュウ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</si>
  <si>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</si>
  <si>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</si>
  <si>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</si>
  <si>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</si>
  <si>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</si>
  <si>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</si>
  <si>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ITスペシャリスト学科）</t>
    <rPh sb="3" eb="5">
      <t>ネンド</t>
    </rPh>
    <rPh sb="5" eb="8">
      <t>キョウカショ</t>
    </rPh>
    <rPh sb="9" eb="11">
      <t>イッパン</t>
    </rPh>
    <rPh sb="12" eb="14">
      <t>ネンセイ</t>
    </rPh>
    <rPh sb="24" eb="26">
      <t>ガッカ</t>
    </rPh>
    <phoneticPr fontId="1"/>
  </si>
  <si>
    <t>H30年度教科書（一般4年生 ITスペシャリスト学科）</t>
    <rPh sb="3" eb="5">
      <t>ネンド</t>
    </rPh>
    <rPh sb="5" eb="8">
      <t>キョウカショ</t>
    </rPh>
    <rPh sb="9" eb="11">
      <t>イッパン</t>
    </rPh>
    <rPh sb="12" eb="14">
      <t>ネンセイ</t>
    </rPh>
    <rPh sb="24" eb="26">
      <t>ガッカ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</si>
  <si>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</si>
  <si>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</si>
  <si>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スポーツ福祉）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フクシ</t>
    </rPh>
    <phoneticPr fontId="1"/>
  </si>
  <si>
    <t>H30年度教科書（一般2年生 スポーツ福祉）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フクシ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</si>
  <si>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</si>
  <si>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</si>
  <si>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</si>
  <si>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</si>
  <si>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</si>
  <si>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</si>
  <si>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</si>
  <si>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H30年度教科書（留学生4年生）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</si>
  <si>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</si>
  <si>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</si>
  <si>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</si>
  <si>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</si>
  <si>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</si>
  <si>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</si>
  <si>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</si>
  <si>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</si>
  <si>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</si>
  <si>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</si>
  <si>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</si>
  <si>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</si>
  <si>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</si>
  <si>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</si>
  <si>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</si>
  <si>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</si>
  <si>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</si>
  <si>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</si>
  <si>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</si>
  <si>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</si>
  <si>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</si>
  <si>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</si>
  <si>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</si>
  <si>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</si>
  <si>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</si>
  <si>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</si>
  <si>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</si>
  <si>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よくわかる初心者の為のパソコン入門</t>
    <rPh sb="5" eb="8">
      <t>ショシンシャ</t>
    </rPh>
    <rPh sb="9" eb="10">
      <t>タメ</t>
    </rPh>
    <rPh sb="15" eb="17">
      <t>ニュウモン</t>
    </rPh>
    <phoneticPr fontId="5"/>
  </si>
  <si>
    <t>情報セキュリティ読本 四訂版</t>
  </si>
  <si>
    <t>30時間でマスター　WORD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</si>
  <si>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</si>
  <si>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</si>
  <si>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</si>
  <si>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</si>
  <si>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</si>
  <si>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</si>
  <si>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</si>
  <si>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情報モラル</t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</si>
  <si>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</si>
  <si>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</si>
  <si>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</si>
  <si>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</si>
  <si>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</si>
  <si>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</si>
  <si>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</si>
  <si>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アスリート養成</t>
  </si>
  <si>
    <t>人間教育</t>
    <rPh sb="0" eb="2">
      <t>ニンゲン</t>
    </rPh>
    <rPh sb="2" eb="4">
      <t>キョウイク</t>
    </rPh>
    <phoneticPr fontId="3"/>
  </si>
  <si>
    <t>モチベーションマネージメント</t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</si>
  <si>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</si>
  <si>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</si>
  <si>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</si>
  <si>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</si>
  <si>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</si>
  <si>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</si>
  <si>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</si>
  <si>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</si>
  <si>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</si>
  <si>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</si>
  <si>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</si>
  <si>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</si>
  <si>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</si>
  <si>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</si>
  <si>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</si>
  <si>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</si>
  <si>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</si>
  <si>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</si>
  <si>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</si>
  <si>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</si>
  <si>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</si>
  <si>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</si>
  <si>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</si>
  <si>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</si>
  <si>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</si>
  <si>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</si>
  <si>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</si>
  <si>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</si>
  <si>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30時間でマスター　プレゼンテーション+PowerPoint2013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</si>
  <si>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</si>
  <si>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</si>
  <si>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</si>
  <si>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</si>
  <si>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</si>
  <si>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</si>
  <si>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</si>
  <si>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</si>
  <si>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</si>
  <si>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</si>
  <si>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</si>
  <si>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</si>
  <si>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</si>
  <si>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2013 対策テキスト&amp; 問題集</t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</si>
  <si>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</si>
  <si>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</si>
  <si>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</si>
  <si>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</si>
  <si>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</si>
  <si>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</si>
  <si>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</si>
  <si>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</si>
  <si>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</si>
  <si>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</si>
  <si>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</si>
  <si>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</si>
  <si>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</si>
  <si>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</si>
  <si>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</si>
  <si>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</si>
  <si>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</si>
  <si>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漢字（７級）</t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</si>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</sst>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2" fillId="0" borderId="3" xfId="0" applyFont="1" applyFill="1" applyBorder="1" applyAlignment="1">
      <alignment vertical="center" shrinkToFit="1"/>
    </xf>
    <xf numFmtId="6" fontId="0" fillId="0" borderId="1" xfId="3" applyFont="1" applyBorder="1">
      <alignment vertical="center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2" fillId="0" borderId="2" xfId="0" applyFont="1" applyFill="1" applyBorder="1" applyAlignment="1">
      <alignment vertical="center" shrinkToFit="1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3" borderId="0" xfId="0" applyFill="1">
      <alignment vertical="center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2" fillId="0" borderId="1" xfId="0" applyFont="1" applyFill="1" applyBorder="1" applyAlignment="1">
      <alignment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11" fillId="0" borderId="1" xfId="0" applyFont="1" applyBorder="1">
      <alignment vertical="center"/>
    </xf>
    <xf numFmtId="6" fontId="11" fillId="0" borderId="1" xfId="3" applyFont="1" applyBorder="1">
      <alignment vertical="center"/>
    </xf>
    <xf numFmtId="0" fontId="11" fillId="0" borderId="1" xfId="0" applyFont="1" applyBorder="1" applyAlignment="1">
      <alignment vertical="center" wrapText="1"/>
    </xf>
    <xf numFmtId="177" fontId="11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wrapText="1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6" fontId="0" fillId="0" borderId="1" xfId="3" applyFont="1" applyBorder="1" applyAlignment="1">
      <alignment vertical="center"/>
    </xf>
    <xf numFmtId="6" fontId="0" fillId="3" borderId="1" xfId="3" applyFont="1" applyFill="1" applyBorder="1">
      <alignment vertical="center"/>
    </xf>
    <xf numFmtId="6" fontId="0" fillId="0" borderId="1" xfId="3" applyFont="1" applyFill="1" applyBorder="1">
      <alignment vertical="center"/>
    </xf>
    <xf numFmtId="6" fontId="11" fillId="3" borderId="1" xfId="3" applyFont="1" applyFill="1" applyBorder="1">
      <alignment vertical="center"/>
    </xf>
    <xf numFmtId="0" fontId="0" fillId="2" borderId="1" xfId="0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2" borderId="9" xfId="0" applyFill="1" applyBorder="1" applyAlignment="1">
      <alignment horizontal="center" vertical="center" shrinkToFit="1"/>
    </xf>
    <xf numFmtId="0" fontId="0" fillId="2" borderId="7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left" vertical="center" wrapText="1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2" borderId="14" xfId="0" applyFill="1" applyBorder="1" applyAlignment="1">
      <alignment horizontal="left" vertical="center" wrapText="1"/>
    </xf>
    <xf numFmtId="0" fontId="0" fillId="0" borderId="16" xfId="0" applyBorder="1">
      <alignment vertical="center"/>
    </xf>
    <xf numFmtId="0" fontId="0" fillId="2" borderId="5" xfId="0" applyFill="1" applyBorder="1" applyAlignment="1">
      <alignment horizontal="left" vertical="center" wrapText="1"/>
    </xf>
    <xf numFmtId="0" fontId="0" fillId="0" borderId="18" xfId="0" applyBorder="1">
      <alignment vertical="center"/>
    </xf>
    <xf numFmtId="0" fontId="0" fillId="0" borderId="19" xfId="0" applyBorder="1" applyAlignment="1">
      <alignment horizontal="left" vertical="center"/>
    </xf>
    <xf numFmtId="0" fontId="0" fillId="0" borderId="20" xfId="0" applyBorder="1">
      <alignment vertical="center"/>
    </xf>
    <xf numFmtId="38" fontId="0" fillId="0" borderId="17" xfId="5" applyFont="1" applyBorder="1">
      <alignment vertical="center"/>
    </xf>
    <xf numFmtId="38" fontId="0" fillId="0" borderId="12" xfId="5" applyFont="1" applyBorder="1">
      <alignment vertical="center"/>
    </xf>
    <xf numFmtId="38" fontId="0" fillId="0" borderId="15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0" fontId="0" fillId="2" borderId="9" xfId="0" applyFill="1" applyBorder="1" applyAlignment="1">
      <alignment horizontal="left" vertical="center" shrinkToFit="1"/>
    </xf>
    <xf numFmtId="0" fontId="10" fillId="4" borderId="1" xfId="0" applyFont="1" applyFill="1" applyBorder="1">
      <alignment vertical="center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Border="1" applyAlignme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7" fillId="0" borderId="0" xfId="0" applyFont="1" applyAlignment="1">
      <alignment horizontal="left" vertical="center" wrapText="1" inden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15" fillId="0" borderId="1" xfId="6" applyBorder="1" applyAlignment="1">
      <alignment vertical="center" shrinkToFit="1"/>
    </xf>
    <xf numFmtId="0" fontId="0" fillId="0" borderId="1" xfId="0" applyBorder="1">
      <alignment vertical="center"/>
    </xf>
    <xf numFmtId="0" fontId="0" fillId="0" borderId="21" xfId="0" applyFill="1" applyBorder="1">
      <alignment vertical="center"/>
    </xf>
    <xf numFmtId="0" fontId="0" fillId="0" borderId="21" xfId="0" applyBorder="1">
      <alignment vertical="center"/>
    </xf>
    <xf numFmtId="5" fontId="20" fillId="0" borderId="0" xfId="0" applyNumberFormat="1" applyFont="1">
      <alignment vertical="center"/>
    </xf>
    <xf numFmtId="5" fontId="20" fillId="0" borderId="0" xfId="0" applyNumberFormat="1" applyFont="1" applyBorder="1">
      <alignment vertical="center"/>
    </xf>
    <xf numFmtId="6" fontId="10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19" fillId="0" borderId="1" xfId="0" applyFont="1" applyFill="1" applyBorder="1">
      <alignment vertical="center"/>
    </xf>
    <xf numFmtId="0" fontId="19" fillId="0" borderId="1" xfId="0" applyFont="1" applyFill="1" applyBorder="1" applyAlignment="1">
      <alignment vertical="center" shrinkToFit="1"/>
    </xf>
    <xf numFmtId="5" fontId="19" fillId="0" borderId="1" xfId="0" applyNumberFormat="1" applyFont="1" applyFill="1" applyBorder="1">
      <alignment vertical="center"/>
    </xf>
    <xf numFmtId="0" fontId="0" fillId="0" borderId="0" xfId="0" applyFill="1">
      <alignment vertical="center"/>
    </xf>
    <xf numFmtId="177" fontId="0" fillId="0" borderId="1" xfId="0" applyNumberFormat="1" applyFill="1" applyBorder="1">
      <alignment vertical="center"/>
    </xf>
    <xf numFmtId="0" fontId="7" fillId="0" borderId="1" xfId="0" applyFont="1" applyFill="1" applyBorder="1" applyAlignment="1">
      <alignment vertical="center" shrinkToFit="1"/>
    </xf>
    <xf numFmtId="3" fontId="0" fillId="0" borderId="1" xfId="0" applyNumberFormat="1" applyFill="1" applyBorder="1" applyAlignment="1">
      <alignment vertical="center" shrinkToFit="1"/>
    </xf>
    <xf numFmtId="0" fontId="6" fillId="0" borderId="1" xfId="0" applyFont="1" applyFill="1" applyBorder="1" applyAlignment="1">
      <alignment vertical="center" shrinkToFit="1"/>
    </xf>
    <xf numFmtId="0" fontId="0" fillId="0" borderId="1" xfId="0" applyFont="1" applyFill="1" applyBorder="1" applyAlignment="1">
      <alignment vertical="center" shrinkToFit="1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center" vertical="center" shrinkToFit="1"/>
    </xf>
    <xf numFmtId="5" fontId="0" fillId="0" borderId="5" xfId="0" applyNumberFormat="1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vertical="center"/>
    </xf>
    <xf numFmtId="0" fontId="0" fillId="5" borderId="1" xfId="0" applyFill="1" applyBorder="1">
      <alignment vertical="center"/>
    </xf>
    <xf numFmtId="0" fontId="10" fillId="0" borderId="5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544286</xdr:colOff>
      <xdr:row>10</xdr:row>
      <xdr:rowOff>163285</xdr:rowOff>
    </xdr:from>
    <xdr:to>
      <xdr:col>10</xdr:col>
      <xdr:colOff>149679</xdr:colOff>
      <xdr:row>19</xdr:row>
      <xdr:rowOff>163286</xdr:rowOff>
    </xdr:to>
    <xdr:sp macro="" textlink="">
      <xdr:nvSpPr>
        <xdr:cNvPr id="2" name="テキスト ボックス 1"/>
        <xdr:cNvSpPr txBox="1"/>
      </xdr:nvSpPr>
      <xdr:spPr>
        <a:xfrm>
          <a:off x="2381250" y="1932214"/>
          <a:ext cx="7688036" cy="15920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3600"/>
            <a:t>ここは、ない？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0.bin"/><Relationship Id="rId2" Type="http://schemas.openxmlformats.org/officeDocument/2006/relationships/printerSettings" Target="../printerSettings/printerSettings59.bin"/><Relationship Id="rId1" Type="http://schemas.openxmlformats.org/officeDocument/2006/relationships/printerSettings" Target="../printerSettings/printerSettings58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6.bin"/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Q41"/>
  <sheetViews>
    <sheetView view="pageBreakPreview" topLeftCell="B1" zoomScale="85" zoomScaleNormal="100" zoomScaleSheetLayoutView="85" workbookViewId="0">
      <selection activeCell="E10" sqref="E10"/>
    </sheetView>
  </sheetViews>
  <sheetFormatPr defaultRowHeight="13.5" outlineLevelCol="1"/>
  <cols>
    <col min="1" max="1" width="9.25" style="20" hidden="1" customWidth="1" outlineLevel="1"/>
    <col min="2" max="2" width="9.25" style="20" bestFit="1" customWidth="1" collapsed="1"/>
    <col min="3" max="3" width="6.25" style="20" customWidth="1"/>
    <col min="4" max="4" width="36.125" style="20" bestFit="1" customWidth="1"/>
    <col min="5" max="5" width="28.625" style="20" bestFit="1" customWidth="1"/>
    <col min="6" max="6" width="14.25" style="20" bestFit="1" customWidth="1"/>
    <col min="7" max="7" width="14.25" style="20" hidden="1" customWidth="1" outlineLevel="1"/>
    <col min="8" max="8" width="10" style="20" hidden="1" customWidth="1" outlineLevel="1"/>
    <col min="9" max="9" width="9.125" style="20" customWidth="1" collapsed="1"/>
    <col min="10" max="11" width="9.125" style="20" customWidth="1"/>
    <col min="12" max="12" width="9" style="20"/>
    <col min="13" max="13" width="9.75" style="20" customWidth="1"/>
    <col min="14" max="14" width="8.375" style="20" customWidth="1"/>
    <col min="15" max="15" width="8" style="20" bestFit="1" customWidth="1"/>
    <col min="16" max="16" width="7.625" style="20" bestFit="1" customWidth="1"/>
    <col min="17" max="16384" width="9" style="20"/>
  </cols>
  <sheetData>
    <row r="1" spans="1:17" ht="41.25" thickBot="1">
      <c r="A1" s="60" t="s">
        <v>95</v>
      </c>
      <c r="B1" s="60" t="s">
        <v>96</v>
      </c>
      <c r="C1" s="60" t="s">
        <v>97</v>
      </c>
      <c r="D1" s="60" t="s">
        <v>98</v>
      </c>
      <c r="E1" s="60" t="s">
        <v>99</v>
      </c>
      <c r="F1" s="60" t="s">
        <v>100</v>
      </c>
      <c r="G1" s="60" t="s">
        <v>206</v>
      </c>
      <c r="H1" s="60" t="s">
        <v>101</v>
      </c>
      <c r="I1" s="71" t="s">
        <v>148</v>
      </c>
      <c r="J1" s="71" t="s">
        <v>149</v>
      </c>
      <c r="K1" s="71" t="s">
        <v>181</v>
      </c>
      <c r="L1" s="61" t="s">
        <v>102</v>
      </c>
      <c r="M1" s="62" t="s">
        <v>222</v>
      </c>
      <c r="N1" s="61" t="s">
        <v>103</v>
      </c>
      <c r="O1" s="71" t="s">
        <v>192</v>
      </c>
      <c r="P1" s="71" t="s">
        <v>190</v>
      </c>
    </row>
    <row r="2" spans="1:17" ht="14.25" thickTop="1">
      <c r="A2" s="64" t="s">
        <v>136</v>
      </c>
      <c r="B2" s="64" t="s">
        <v>105</v>
      </c>
      <c r="C2" s="64">
        <v>1</v>
      </c>
      <c r="D2" s="59" t="s">
        <v>106</v>
      </c>
      <c r="E2" s="59" t="s">
        <v>107</v>
      </c>
      <c r="F2" s="59"/>
      <c r="G2" s="59" t="s">
        <v>202</v>
      </c>
      <c r="H2" s="64" t="s">
        <v>108</v>
      </c>
      <c r="I2" s="64"/>
      <c r="J2" s="64"/>
      <c r="K2" s="159"/>
      <c r="L2" s="65">
        <f>アスリート1年生!J8</f>
        <v>0</v>
      </c>
      <c r="M2" s="65">
        <f>VLOOKUP(G2,'教材費（教科書代以外）'!$B$4:$C$26,2,FALSE)</f>
        <v>7671</v>
      </c>
      <c r="N2" s="65">
        <f>アスリート1年生!E34</f>
        <v>0</v>
      </c>
      <c r="O2" s="65">
        <f>SUM(L2:N2)</f>
        <v>7671</v>
      </c>
      <c r="P2" s="59">
        <v>4</v>
      </c>
    </row>
    <row r="3" spans="1:17">
      <c r="A3" s="64" t="s">
        <v>136</v>
      </c>
      <c r="B3" s="64" t="s">
        <v>105</v>
      </c>
      <c r="C3" s="64">
        <v>1</v>
      </c>
      <c r="D3" s="59" t="s">
        <v>106</v>
      </c>
      <c r="E3" s="59" t="s">
        <v>107</v>
      </c>
      <c r="F3" s="59"/>
      <c r="G3" s="59" t="s">
        <v>170</v>
      </c>
      <c r="H3" s="64"/>
      <c r="I3" s="64"/>
      <c r="J3" s="64"/>
      <c r="K3" s="159"/>
      <c r="L3" s="65">
        <f>アスリート1年生!J9</f>
        <v>0</v>
      </c>
      <c r="M3" s="65">
        <f>VLOOKUP(G3,'教材費（教科書代以外）'!$B$4:$C$26,2,FALSE)</f>
        <v>8035</v>
      </c>
      <c r="N3" s="65">
        <f>アスリート1年生!E34</f>
        <v>0</v>
      </c>
      <c r="O3" s="65">
        <f t="shared" ref="O3:O29" si="0">SUM(L3:N3)</f>
        <v>8035</v>
      </c>
      <c r="P3" s="59">
        <v>4</v>
      </c>
    </row>
    <row r="4" spans="1:17">
      <c r="A4" s="9" t="s">
        <v>136</v>
      </c>
      <c r="B4" s="9" t="s">
        <v>105</v>
      </c>
      <c r="C4" s="9">
        <v>2</v>
      </c>
      <c r="D4" s="58" t="s">
        <v>106</v>
      </c>
      <c r="E4" s="58" t="s">
        <v>109</v>
      </c>
      <c r="F4" s="58"/>
      <c r="G4" s="58" t="s">
        <v>171</v>
      </c>
      <c r="H4" s="58" t="s">
        <v>110</v>
      </c>
      <c r="I4" s="9"/>
      <c r="J4" s="9"/>
      <c r="K4" s="9"/>
      <c r="L4" s="52">
        <f>アスリート2年生!J7</f>
        <v>1382</v>
      </c>
      <c r="M4" s="52">
        <f>VLOOKUP(G4,'教材費（教科書代以外）'!$B$4:$C$26,2,FALSE)</f>
        <v>6903</v>
      </c>
      <c r="N4" s="52">
        <f>アスリート2年生!E34</f>
        <v>0</v>
      </c>
      <c r="O4" s="52">
        <f t="shared" ref="O4" si="1">SUM(L4:N4)</f>
        <v>8285</v>
      </c>
      <c r="P4" s="58">
        <v>6</v>
      </c>
    </row>
    <row r="5" spans="1:17">
      <c r="A5" s="9" t="s">
        <v>136</v>
      </c>
      <c r="B5" s="9" t="s">
        <v>105</v>
      </c>
      <c r="C5" s="9">
        <v>2</v>
      </c>
      <c r="D5" s="58" t="s">
        <v>106</v>
      </c>
      <c r="E5" s="58" t="s">
        <v>109</v>
      </c>
      <c r="F5" s="58"/>
      <c r="G5" s="58" t="s">
        <v>172</v>
      </c>
      <c r="H5" s="58" t="s">
        <v>110</v>
      </c>
      <c r="I5" s="9"/>
      <c r="J5" s="9"/>
      <c r="K5" s="9"/>
      <c r="L5" s="52">
        <f>アスリート2年生!J8</f>
        <v>3304</v>
      </c>
      <c r="M5" s="52">
        <f>VLOOKUP(G5,'教材費（教科書代以外）'!$B$4:$C$26,2,FALSE)</f>
        <v>7468</v>
      </c>
      <c r="N5" s="52">
        <f>アスリート2年生!E34</f>
        <v>0</v>
      </c>
      <c r="O5" s="52">
        <f t="shared" si="0"/>
        <v>10772</v>
      </c>
      <c r="P5" s="58">
        <v>6</v>
      </c>
    </row>
    <row r="6" spans="1:17" ht="14.25" thickBot="1">
      <c r="A6" s="66" t="s">
        <v>136</v>
      </c>
      <c r="B6" s="66" t="s">
        <v>105</v>
      </c>
      <c r="C6" s="66">
        <v>3</v>
      </c>
      <c r="D6" s="63" t="s">
        <v>106</v>
      </c>
      <c r="E6" s="63" t="s">
        <v>111</v>
      </c>
      <c r="F6" s="63"/>
      <c r="G6" s="63" t="s">
        <v>173</v>
      </c>
      <c r="H6" s="66" t="s">
        <v>112</v>
      </c>
      <c r="I6" s="66"/>
      <c r="J6" s="66"/>
      <c r="K6" s="66"/>
      <c r="L6" s="67">
        <f>アスリート3年生!E26</f>
        <v>6090</v>
      </c>
      <c r="M6" s="67">
        <f>VLOOKUP(G6,'教材費（教科書代以外）'!$B$4:$C$26,2,FALSE)</f>
        <v>9156</v>
      </c>
      <c r="N6" s="67">
        <f>アスリート3年生!E34</f>
        <v>0</v>
      </c>
      <c r="O6" s="67">
        <f t="shared" si="0"/>
        <v>15246</v>
      </c>
      <c r="P6" s="63">
        <v>1</v>
      </c>
    </row>
    <row r="7" spans="1:17" ht="14.25" thickTop="1">
      <c r="A7" s="64" t="s">
        <v>104</v>
      </c>
      <c r="B7" s="64" t="s">
        <v>113</v>
      </c>
      <c r="C7" s="64">
        <v>1</v>
      </c>
      <c r="D7" s="59" t="s">
        <v>114</v>
      </c>
      <c r="E7" s="59"/>
      <c r="F7" s="59"/>
      <c r="G7" s="59" t="s">
        <v>196</v>
      </c>
      <c r="H7" s="64" t="s">
        <v>115</v>
      </c>
      <c r="I7" s="64"/>
      <c r="J7" s="64"/>
      <c r="K7" s="159"/>
      <c r="L7" s="65">
        <f>'一般1年生(情報処理技術学科2年課程)'!E26</f>
        <v>5810</v>
      </c>
      <c r="M7" s="65">
        <f>VLOOKUP(G7,'教材費（教科書代以外）'!$B$4:$C$26,2,FALSE)</f>
        <v>20256</v>
      </c>
      <c r="N7" s="65">
        <f>'一般1年生(情報処理技術学科2年課程)'!E34</f>
        <v>0</v>
      </c>
      <c r="O7" s="65">
        <f t="shared" si="0"/>
        <v>26066</v>
      </c>
      <c r="P7" s="59">
        <v>6</v>
      </c>
      <c r="Q7" s="14"/>
    </row>
    <row r="8" spans="1:17">
      <c r="A8" s="9" t="s">
        <v>104</v>
      </c>
      <c r="B8" s="9" t="s">
        <v>113</v>
      </c>
      <c r="C8" s="9">
        <v>1</v>
      </c>
      <c r="D8" s="58" t="s">
        <v>116</v>
      </c>
      <c r="E8" s="58"/>
      <c r="F8" s="58"/>
      <c r="G8" s="58" t="s">
        <v>197</v>
      </c>
      <c r="H8" s="9" t="s">
        <v>117</v>
      </c>
      <c r="I8" s="9"/>
      <c r="J8" s="9"/>
      <c r="K8" s="160"/>
      <c r="L8" s="52">
        <f>'一般1年生 (情報処理技術学科3年課程)'!E26</f>
        <v>5810</v>
      </c>
      <c r="M8" s="52">
        <f>VLOOKUP(G8,'教材費（教科書代以外）'!$B$4:$C$26,2,FALSE)</f>
        <v>19686</v>
      </c>
      <c r="N8" s="52">
        <f>'一般1年生 (情報処理技術学科3年課程)'!E34</f>
        <v>0</v>
      </c>
      <c r="O8" s="52">
        <f t="shared" si="0"/>
        <v>25496</v>
      </c>
      <c r="P8" s="58">
        <v>6</v>
      </c>
      <c r="Q8" s="14"/>
    </row>
    <row r="9" spans="1:17">
      <c r="A9" s="9" t="s">
        <v>104</v>
      </c>
      <c r="B9" s="9" t="s">
        <v>113</v>
      </c>
      <c r="C9" s="9">
        <v>1</v>
      </c>
      <c r="D9" s="58" t="s">
        <v>143</v>
      </c>
      <c r="E9" s="58"/>
      <c r="F9" s="58"/>
      <c r="G9" s="58" t="s">
        <v>198</v>
      </c>
      <c r="H9" s="9"/>
      <c r="I9" s="9"/>
      <c r="J9" s="9"/>
      <c r="K9" s="160"/>
      <c r="L9" s="52">
        <f>'一般1年生 (情報処理技術学科3年課程)'!E26</f>
        <v>5810</v>
      </c>
      <c r="M9" s="52">
        <f>VLOOKUP(G9,'教材費（教科書代以外）'!$B$4:$C$26,2,FALSE)</f>
        <v>19686</v>
      </c>
      <c r="N9" s="52">
        <f>'一般1年生 (情報処理技術学科3年課程)'!E34</f>
        <v>0</v>
      </c>
      <c r="O9" s="52">
        <f t="shared" si="0"/>
        <v>25496</v>
      </c>
      <c r="P9" s="58">
        <v>6</v>
      </c>
      <c r="Q9" s="14"/>
    </row>
    <row r="10" spans="1:17">
      <c r="A10" s="9" t="s">
        <v>104</v>
      </c>
      <c r="B10" s="9" t="s">
        <v>113</v>
      </c>
      <c r="C10" s="9">
        <v>1</v>
      </c>
      <c r="D10" s="58" t="s">
        <v>118</v>
      </c>
      <c r="E10" s="58"/>
      <c r="F10" s="58"/>
      <c r="G10" s="58" t="s">
        <v>163</v>
      </c>
      <c r="H10" s="9" t="s">
        <v>119</v>
      </c>
      <c r="I10" s="9"/>
      <c r="J10" s="9"/>
      <c r="K10" s="160"/>
      <c r="L10" s="52">
        <f>'一般1年生 (キャリアデザイン)'!J8</f>
        <v>0</v>
      </c>
      <c r="M10" s="52">
        <f>VLOOKUP(G10,'教材費（教科書代以外）'!$B$4:$C$26,2,FALSE)</f>
        <v>5162</v>
      </c>
      <c r="N10" s="52">
        <f>'一般1年生 (キャリアデザイン)'!E42</f>
        <v>0</v>
      </c>
      <c r="O10" s="52">
        <f t="shared" si="0"/>
        <v>5162</v>
      </c>
      <c r="P10" s="58">
        <v>8</v>
      </c>
      <c r="Q10" s="14"/>
    </row>
    <row r="11" spans="1:17">
      <c r="A11" s="9" t="s">
        <v>104</v>
      </c>
      <c r="B11" s="9" t="s">
        <v>113</v>
      </c>
      <c r="C11" s="9">
        <v>1</v>
      </c>
      <c r="D11" s="58" t="s">
        <v>118</v>
      </c>
      <c r="E11" s="58"/>
      <c r="F11" s="58"/>
      <c r="G11" s="58" t="s">
        <v>164</v>
      </c>
      <c r="H11" s="9" t="s">
        <v>119</v>
      </c>
      <c r="I11" s="9"/>
      <c r="J11" s="9"/>
      <c r="K11" s="160"/>
      <c r="L11" s="52">
        <f>'一般1年生 (キャリアデザイン)'!J9</f>
        <v>0</v>
      </c>
      <c r="M11" s="52">
        <f>VLOOKUP(G11,'教材費（教科書代以外）'!$B$4:$C$26,2,FALSE)</f>
        <v>6005</v>
      </c>
      <c r="N11" s="52">
        <f>'一般1年生 (キャリアデザイン)'!F42</f>
        <v>0</v>
      </c>
      <c r="O11" s="52">
        <f t="shared" si="0"/>
        <v>6005</v>
      </c>
      <c r="P11" s="58">
        <v>9</v>
      </c>
      <c r="Q11" s="14"/>
    </row>
    <row r="12" spans="1:17">
      <c r="A12" s="9" t="s">
        <v>104</v>
      </c>
      <c r="B12" s="9" t="s">
        <v>113</v>
      </c>
      <c r="C12" s="9">
        <v>1</v>
      </c>
      <c r="D12" s="58" t="s">
        <v>120</v>
      </c>
      <c r="E12" s="58"/>
      <c r="F12" s="58"/>
      <c r="G12" s="58" t="s">
        <v>166</v>
      </c>
      <c r="H12" s="9" t="s">
        <v>121</v>
      </c>
      <c r="I12" s="9"/>
      <c r="J12" s="9"/>
      <c r="K12" s="160"/>
      <c r="L12" s="52">
        <f>'一般1年生 (スポーツ福祉)'!E26</f>
        <v>0</v>
      </c>
      <c r="M12" s="52">
        <f>VLOOKUP(G12,'教材費（教科書代以外）'!$B$4:$C$26,2,FALSE)</f>
        <v>4500</v>
      </c>
      <c r="N12" s="52">
        <f>'一般1年生 (スポーツ福祉)'!E34</f>
        <v>0</v>
      </c>
      <c r="O12" s="52">
        <f t="shared" si="0"/>
        <v>4500</v>
      </c>
      <c r="P12" s="58" t="s">
        <v>191</v>
      </c>
      <c r="Q12" s="14"/>
    </row>
    <row r="13" spans="1:17">
      <c r="A13" s="9" t="s">
        <v>104</v>
      </c>
      <c r="B13" s="9" t="s">
        <v>113</v>
      </c>
      <c r="C13" s="9">
        <v>1</v>
      </c>
      <c r="D13" s="58" t="s">
        <v>122</v>
      </c>
      <c r="E13" s="58"/>
      <c r="F13" s="58"/>
      <c r="G13" s="58" t="s">
        <v>168</v>
      </c>
      <c r="H13" s="9" t="s">
        <v>123</v>
      </c>
      <c r="I13" s="9"/>
      <c r="J13" s="9"/>
      <c r="K13" s="160"/>
      <c r="L13" s="52">
        <f>'一般1年生 (パソコン事務)'!E26</f>
        <v>1922</v>
      </c>
      <c r="M13" s="52">
        <f>VLOOKUP(G13,'教材費（教科書代以外）'!$B$4:$C$26,2,FALSE)</f>
        <v>6000</v>
      </c>
      <c r="N13" s="52">
        <f>'一般1年生 (パソコン事務)'!E34</f>
        <v>0</v>
      </c>
      <c r="O13" s="52">
        <f t="shared" si="0"/>
        <v>7922</v>
      </c>
      <c r="P13" s="58" t="s">
        <v>191</v>
      </c>
      <c r="Q13" s="14"/>
    </row>
    <row r="14" spans="1:17">
      <c r="A14" s="9" t="s">
        <v>104</v>
      </c>
      <c r="B14" s="9" t="s">
        <v>113</v>
      </c>
      <c r="C14" s="9">
        <v>2</v>
      </c>
      <c r="D14" s="58" t="s">
        <v>124</v>
      </c>
      <c r="E14" s="58" t="s">
        <v>125</v>
      </c>
      <c r="F14" s="58"/>
      <c r="G14" s="58" t="s">
        <v>165</v>
      </c>
      <c r="H14" s="58" t="s">
        <v>47</v>
      </c>
      <c r="I14" s="9"/>
      <c r="J14" s="9"/>
      <c r="K14" s="9"/>
      <c r="L14" s="52">
        <f>'一般2年生 (キャリアデザイン)'!E26</f>
        <v>5550</v>
      </c>
      <c r="M14" s="52">
        <f>VLOOKUP(G14,'教材費（教科書代以外）'!$B$4:$C$26,2,FALSE)</f>
        <v>5662</v>
      </c>
      <c r="N14" s="52">
        <f>'一般2年生 (キャリアデザイン)'!E34</f>
        <v>0</v>
      </c>
      <c r="O14" s="52">
        <f t="shared" si="0"/>
        <v>11212</v>
      </c>
      <c r="P14" s="58">
        <v>6</v>
      </c>
      <c r="Q14" s="14"/>
    </row>
    <row r="15" spans="1:17">
      <c r="A15" s="9" t="s">
        <v>104</v>
      </c>
      <c r="B15" s="9" t="s">
        <v>113</v>
      </c>
      <c r="C15" s="9">
        <v>2</v>
      </c>
      <c r="D15" s="58" t="s">
        <v>126</v>
      </c>
      <c r="E15" s="58" t="s">
        <v>127</v>
      </c>
      <c r="F15" s="58"/>
      <c r="G15" s="58" t="s">
        <v>200</v>
      </c>
      <c r="H15" s="58" t="s">
        <v>128</v>
      </c>
      <c r="I15" s="9"/>
      <c r="J15" s="9"/>
      <c r="K15" s="9"/>
      <c r="L15" s="52">
        <f>'一般2年生 (情報処理技術学科3年課程)'!E26</f>
        <v>0</v>
      </c>
      <c r="M15" s="52">
        <f>VLOOKUP(G15,'教材費（教科書代以外）'!$B$4:$C$26,2,FALSE)</f>
        <v>15364</v>
      </c>
      <c r="N15" s="52">
        <f>'一般2年生 (情報処理技術学科3年課程)'!E34</f>
        <v>0</v>
      </c>
      <c r="O15" s="52">
        <f t="shared" si="0"/>
        <v>15364</v>
      </c>
      <c r="P15" s="58">
        <v>3</v>
      </c>
      <c r="Q15" s="14"/>
    </row>
    <row r="16" spans="1:17">
      <c r="A16" s="9" t="s">
        <v>104</v>
      </c>
      <c r="B16" s="9" t="s">
        <v>113</v>
      </c>
      <c r="C16" s="9">
        <v>2</v>
      </c>
      <c r="D16" s="58" t="s">
        <v>129</v>
      </c>
      <c r="E16" s="58" t="s">
        <v>130</v>
      </c>
      <c r="F16" s="58"/>
      <c r="G16" s="58" t="s">
        <v>167</v>
      </c>
      <c r="H16" s="58" t="s">
        <v>47</v>
      </c>
      <c r="I16" s="9"/>
      <c r="J16" s="9"/>
      <c r="K16" s="9"/>
      <c r="L16" s="52">
        <f>'一般2年生 (スポーツ福祉)'!E26</f>
        <v>0</v>
      </c>
      <c r="M16" s="52">
        <f>VLOOKUP(G16,'教材費（教科書代以外）'!$B$4:$C$26,2,FALSE)</f>
        <v>5662</v>
      </c>
      <c r="N16" s="52">
        <f>'一般2年生 (スポーツ福祉)'!E34</f>
        <v>0</v>
      </c>
      <c r="O16" s="52">
        <f t="shared" si="0"/>
        <v>5662</v>
      </c>
      <c r="P16" s="58">
        <v>6</v>
      </c>
      <c r="Q16" s="127"/>
    </row>
    <row r="17" spans="1:17">
      <c r="A17" s="9" t="s">
        <v>104</v>
      </c>
      <c r="B17" s="9" t="s">
        <v>113</v>
      </c>
      <c r="C17" s="9">
        <v>2</v>
      </c>
      <c r="D17" s="58" t="s">
        <v>131</v>
      </c>
      <c r="E17" s="58" t="s">
        <v>132</v>
      </c>
      <c r="F17" s="58"/>
      <c r="G17" s="58" t="s">
        <v>199</v>
      </c>
      <c r="H17" s="58" t="s">
        <v>128</v>
      </c>
      <c r="I17" s="9"/>
      <c r="J17" s="9"/>
      <c r="K17" s="9"/>
      <c r="L17" s="52">
        <f>'一般2年生 (情報処理技術学科2年課程)'!E26</f>
        <v>0</v>
      </c>
      <c r="M17" s="52">
        <f>VLOOKUP(G17,'教材費（教科書代以外）'!$B$4:$C$26,2,FALSE)</f>
        <v>16564</v>
      </c>
      <c r="N17" s="52">
        <f>'一般2年生 (情報処理技術学科2年課程)'!E34</f>
        <v>0</v>
      </c>
      <c r="O17" s="52">
        <f t="shared" si="0"/>
        <v>16564</v>
      </c>
      <c r="P17" s="58">
        <v>4</v>
      </c>
      <c r="Q17" s="14"/>
    </row>
    <row r="18" spans="1:17">
      <c r="A18" s="9" t="s">
        <v>104</v>
      </c>
      <c r="B18" s="9" t="s">
        <v>113</v>
      </c>
      <c r="C18" s="58">
        <v>3</v>
      </c>
      <c r="D18" s="58" t="s">
        <v>126</v>
      </c>
      <c r="E18" s="58" t="s">
        <v>127</v>
      </c>
      <c r="F18" s="58"/>
      <c r="G18" s="58" t="s">
        <v>201</v>
      </c>
      <c r="H18" s="9" t="s">
        <v>133</v>
      </c>
      <c r="I18" s="9"/>
      <c r="J18" s="9"/>
      <c r="K18" s="9"/>
      <c r="L18" s="52">
        <f>'一般3年生(情報処理技術学科3年課程)'!E26</f>
        <v>0</v>
      </c>
      <c r="M18" s="52">
        <f>VLOOKUP(G18,'教材費（教科書代以外）'!$B$4:$C$26,2,FALSE)</f>
        <v>9584</v>
      </c>
      <c r="N18" s="52">
        <f>'一般3年生(情報処理技術学科3年課程)'!E34</f>
        <v>0</v>
      </c>
      <c r="O18" s="52">
        <f t="shared" si="0"/>
        <v>9584</v>
      </c>
      <c r="P18" s="58">
        <v>1</v>
      </c>
      <c r="Q18" s="14"/>
    </row>
    <row r="19" spans="1:17" ht="14.25" thickBot="1">
      <c r="A19" s="66" t="s">
        <v>104</v>
      </c>
      <c r="B19" s="66" t="s">
        <v>113</v>
      </c>
      <c r="C19" s="63">
        <v>4</v>
      </c>
      <c r="D19" s="63" t="s">
        <v>134</v>
      </c>
      <c r="E19" s="63"/>
      <c r="F19" s="63"/>
      <c r="G19" s="63" t="s">
        <v>180</v>
      </c>
      <c r="H19" s="66" t="s">
        <v>135</v>
      </c>
      <c r="I19" s="66"/>
      <c r="J19" s="66"/>
      <c r="K19" s="66"/>
      <c r="L19" s="67">
        <f>一般4年生!E26</f>
        <v>0</v>
      </c>
      <c r="M19" s="67">
        <f>VLOOKUP(G19,'教材費（教科書代以外）'!$B$4:$C$26,2,FALSE)</f>
        <v>9310</v>
      </c>
      <c r="N19" s="67">
        <f>'一般3年生(ITスペシャリスト学科)'!E34</f>
        <v>5700</v>
      </c>
      <c r="O19" s="67">
        <f t="shared" si="0"/>
        <v>15010</v>
      </c>
      <c r="P19" s="63">
        <v>2</v>
      </c>
      <c r="Q19" s="14"/>
    </row>
    <row r="20" spans="1:17" ht="14.25" thickTop="1">
      <c r="A20" s="64" t="s">
        <v>136</v>
      </c>
      <c r="B20" s="59" t="s">
        <v>137</v>
      </c>
      <c r="C20" s="59">
        <v>1</v>
      </c>
      <c r="D20" s="59" t="s">
        <v>106</v>
      </c>
      <c r="E20" s="59" t="s">
        <v>138</v>
      </c>
      <c r="F20" s="59"/>
      <c r="G20" s="59" t="s">
        <v>204</v>
      </c>
      <c r="H20" s="64"/>
      <c r="I20" s="64"/>
      <c r="J20" s="64"/>
      <c r="K20" s="159"/>
      <c r="L20" s="65" t="e">
        <f>留学生1年生!#REF!</f>
        <v>#REF!</v>
      </c>
      <c r="M20" s="65">
        <f>VLOOKUP(G20,'教材費（教科書代以外）'!$B$4:$C$26,2,FALSE)</f>
        <v>4052</v>
      </c>
      <c r="N20" s="65">
        <f>留学生1年生!E34</f>
        <v>5500</v>
      </c>
      <c r="O20" s="65" t="e">
        <f t="shared" si="0"/>
        <v>#REF!</v>
      </c>
      <c r="P20" s="59">
        <v>5</v>
      </c>
      <c r="Q20" s="14"/>
    </row>
    <row r="21" spans="1:17">
      <c r="A21" s="9" t="s">
        <v>136</v>
      </c>
      <c r="B21" s="58" t="s">
        <v>137</v>
      </c>
      <c r="C21" s="58">
        <v>1</v>
      </c>
      <c r="D21" s="58" t="s">
        <v>139</v>
      </c>
      <c r="E21" s="58" t="s">
        <v>140</v>
      </c>
      <c r="F21" s="58"/>
      <c r="G21" s="58" t="s">
        <v>204</v>
      </c>
      <c r="H21" s="9"/>
      <c r="I21" s="64"/>
      <c r="J21" s="64"/>
      <c r="K21" s="159"/>
      <c r="L21" s="52">
        <f>留学生1年生!G25</f>
        <v>0</v>
      </c>
      <c r="M21" s="52">
        <f>VLOOKUP(G21,'教材費（教科書代以外）'!$B$4:$C$26,2,FALSE)</f>
        <v>4052</v>
      </c>
      <c r="N21" s="52">
        <f>留学生1年生!E34</f>
        <v>5500</v>
      </c>
      <c r="O21" s="52">
        <f t="shared" si="0"/>
        <v>9552</v>
      </c>
      <c r="P21" s="58">
        <v>5</v>
      </c>
      <c r="Q21" s="14"/>
    </row>
    <row r="22" spans="1:17">
      <c r="A22" s="9" t="s">
        <v>104</v>
      </c>
      <c r="B22" s="58" t="s">
        <v>137</v>
      </c>
      <c r="C22" s="58">
        <v>1</v>
      </c>
      <c r="D22" s="58" t="s">
        <v>126</v>
      </c>
      <c r="E22" s="58" t="s">
        <v>138</v>
      </c>
      <c r="F22" s="58"/>
      <c r="G22" s="58" t="s">
        <v>203</v>
      </c>
      <c r="H22" s="9"/>
      <c r="I22" s="9"/>
      <c r="J22" s="9"/>
      <c r="K22" s="160"/>
      <c r="L22" s="52" t="e">
        <f>留学生1年生!#REF!</f>
        <v>#REF!</v>
      </c>
      <c r="M22" s="52">
        <f>VLOOKUP(G22,'教材費（教科書代以外）'!$B$4:$C$26,2,FALSE)</f>
        <v>4052</v>
      </c>
      <c r="N22" s="52">
        <f>留学生1年生!E34</f>
        <v>5500</v>
      </c>
      <c r="O22" s="52" t="e">
        <f t="shared" si="0"/>
        <v>#REF!</v>
      </c>
      <c r="P22" s="58">
        <v>4</v>
      </c>
      <c r="Q22" s="14"/>
    </row>
    <row r="23" spans="1:17">
      <c r="A23" s="9" t="s">
        <v>104</v>
      </c>
      <c r="B23" s="58" t="s">
        <v>137</v>
      </c>
      <c r="C23" s="58">
        <v>1</v>
      </c>
      <c r="D23" s="58" t="s">
        <v>131</v>
      </c>
      <c r="E23" s="58" t="s">
        <v>140</v>
      </c>
      <c r="F23" s="58"/>
      <c r="G23" s="58" t="s">
        <v>203</v>
      </c>
      <c r="H23" s="9"/>
      <c r="I23" s="9"/>
      <c r="J23" s="9"/>
      <c r="K23" s="160"/>
      <c r="L23" s="52">
        <f>留学生1年生!F25</f>
        <v>0</v>
      </c>
      <c r="M23" s="52">
        <f>VLOOKUP(G23,'教材費（教科書代以外）'!$B$4:$C$26,2,FALSE)</f>
        <v>4052</v>
      </c>
      <c r="N23" s="52">
        <f>留学生1年生!E34</f>
        <v>5500</v>
      </c>
      <c r="O23" s="52">
        <f t="shared" si="0"/>
        <v>9552</v>
      </c>
      <c r="P23" s="58">
        <v>4</v>
      </c>
      <c r="Q23" s="14"/>
    </row>
    <row r="24" spans="1:17">
      <c r="A24" s="58" t="s">
        <v>136</v>
      </c>
      <c r="B24" s="58" t="s">
        <v>137</v>
      </c>
      <c r="C24" s="58">
        <v>2</v>
      </c>
      <c r="D24" s="58" t="s">
        <v>237</v>
      </c>
      <c r="E24" s="68" t="s">
        <v>138</v>
      </c>
      <c r="F24" s="68"/>
      <c r="G24" s="68" t="s">
        <v>177</v>
      </c>
      <c r="H24" s="58"/>
      <c r="I24" s="9"/>
      <c r="J24" s="9"/>
      <c r="K24" s="9"/>
      <c r="L24" s="52">
        <f>留学生2年生!H25</f>
        <v>0</v>
      </c>
      <c r="M24" s="52">
        <f>VLOOKUP(G24,'教材費（教科書代以外）'!$B$4:$C$26,2,FALSE)</f>
        <v>2552</v>
      </c>
      <c r="N24" s="52">
        <f>留学生2年生!E32</f>
        <v>11000</v>
      </c>
      <c r="O24" s="52">
        <f t="shared" si="0"/>
        <v>13552</v>
      </c>
      <c r="P24" s="58">
        <v>5</v>
      </c>
      <c r="Q24" s="14"/>
    </row>
    <row r="25" spans="1:17">
      <c r="A25" s="58" t="s">
        <v>136</v>
      </c>
      <c r="B25" s="58" t="s">
        <v>137</v>
      </c>
      <c r="C25" s="58">
        <v>2</v>
      </c>
      <c r="D25" s="58" t="s">
        <v>238</v>
      </c>
      <c r="E25" s="68" t="s">
        <v>140</v>
      </c>
      <c r="F25" s="68"/>
      <c r="G25" s="68" t="s">
        <v>177</v>
      </c>
      <c r="H25" s="58"/>
      <c r="I25" s="9"/>
      <c r="J25" s="9"/>
      <c r="K25" s="9"/>
      <c r="L25" s="52">
        <f>留学生2年生!I25</f>
        <v>2592</v>
      </c>
      <c r="M25" s="52">
        <f>VLOOKUP(G25,'教材費（教科書代以外）'!$B$4:$C$26,2,FALSE)</f>
        <v>2552</v>
      </c>
      <c r="N25" s="52">
        <f>留学生2年生!E32</f>
        <v>11000</v>
      </c>
      <c r="O25" s="52">
        <f t="shared" si="0"/>
        <v>16144</v>
      </c>
      <c r="P25" s="58">
        <v>5</v>
      </c>
      <c r="Q25" s="14"/>
    </row>
    <row r="26" spans="1:17">
      <c r="A26" s="58" t="s">
        <v>104</v>
      </c>
      <c r="B26" s="58" t="s">
        <v>137</v>
      </c>
      <c r="C26" s="58">
        <v>2</v>
      </c>
      <c r="D26" s="58" t="s">
        <v>239</v>
      </c>
      <c r="E26" s="68" t="s">
        <v>138</v>
      </c>
      <c r="F26" s="68"/>
      <c r="G26" s="68" t="s">
        <v>176</v>
      </c>
      <c r="H26" s="58"/>
      <c r="I26" s="9"/>
      <c r="J26" s="9"/>
      <c r="K26" s="9"/>
      <c r="L26" s="52">
        <f>留学生2年生!F25</f>
        <v>4407</v>
      </c>
      <c r="M26" s="52">
        <f>VLOOKUP(G26,'教材費（教科書代以外）'!$B$4:$C$26,2,FALSE)</f>
        <v>2552</v>
      </c>
      <c r="N26" s="52">
        <f>留学生2年生!E32</f>
        <v>11000</v>
      </c>
      <c r="O26" s="52">
        <f t="shared" si="0"/>
        <v>17959</v>
      </c>
      <c r="P26" s="58">
        <v>4</v>
      </c>
      <c r="Q26" s="14"/>
    </row>
    <row r="27" spans="1:17">
      <c r="A27" s="58" t="s">
        <v>104</v>
      </c>
      <c r="B27" s="58" t="s">
        <v>137</v>
      </c>
      <c r="C27" s="58">
        <v>2</v>
      </c>
      <c r="D27" s="58" t="s">
        <v>240</v>
      </c>
      <c r="E27" s="68" t="s">
        <v>140</v>
      </c>
      <c r="F27" s="68"/>
      <c r="G27" s="68" t="s">
        <v>176</v>
      </c>
      <c r="H27" s="58"/>
      <c r="I27" s="9"/>
      <c r="J27" s="9"/>
      <c r="K27" s="9"/>
      <c r="L27" s="52">
        <f>留学生2年生!G25</f>
        <v>4407</v>
      </c>
      <c r="M27" s="52">
        <f>VLOOKUP(G27,'教材費（教科書代以外）'!$B$4:$C$26,2,FALSE)</f>
        <v>2552</v>
      </c>
      <c r="N27" s="52">
        <f>留学生2年生!E32</f>
        <v>11000</v>
      </c>
      <c r="O27" s="52">
        <f t="shared" si="0"/>
        <v>17959</v>
      </c>
      <c r="P27" s="58">
        <v>4</v>
      </c>
      <c r="Q27" s="14"/>
    </row>
    <row r="28" spans="1:17">
      <c r="A28" s="58" t="s">
        <v>136</v>
      </c>
      <c r="B28" s="58" t="s">
        <v>137</v>
      </c>
      <c r="C28" s="58">
        <v>3</v>
      </c>
      <c r="D28" s="58" t="s">
        <v>106</v>
      </c>
      <c r="E28" s="68" t="s">
        <v>138</v>
      </c>
      <c r="F28" s="68"/>
      <c r="G28" s="68" t="s">
        <v>178</v>
      </c>
      <c r="H28" s="58"/>
      <c r="I28" s="9"/>
      <c r="J28" s="9"/>
      <c r="K28" s="9"/>
      <c r="L28" s="52">
        <f>留学生3年生!G26</f>
        <v>0</v>
      </c>
      <c r="M28" s="52">
        <f>VLOOKUP(G28,'教材費（教科書代以外）'!$B$4:$C$26,2,FALSE)</f>
        <v>2052</v>
      </c>
      <c r="N28" s="52">
        <f>留学生3年生!E34</f>
        <v>0</v>
      </c>
      <c r="O28" s="52">
        <f t="shared" si="0"/>
        <v>2052</v>
      </c>
      <c r="P28" s="58">
        <v>5</v>
      </c>
      <c r="Q28" s="14"/>
    </row>
    <row r="29" spans="1:17">
      <c r="A29" s="58" t="s">
        <v>104</v>
      </c>
      <c r="B29" s="58" t="s">
        <v>137</v>
      </c>
      <c r="C29" s="58">
        <v>3</v>
      </c>
      <c r="D29" s="58" t="s">
        <v>134</v>
      </c>
      <c r="E29" s="68" t="s">
        <v>141</v>
      </c>
      <c r="F29" s="68"/>
      <c r="G29" s="68" t="s">
        <v>178</v>
      </c>
      <c r="H29" s="58"/>
      <c r="I29" s="9"/>
      <c r="J29" s="9"/>
      <c r="K29" s="9"/>
      <c r="L29" s="52">
        <f>留学生3年生!I26</f>
        <v>0</v>
      </c>
      <c r="M29" s="52">
        <f>VLOOKUP(G29,'教材費（教科書代以外）'!$B$4:$C$26,2,FALSE)</f>
        <v>2052</v>
      </c>
      <c r="N29" s="52">
        <f>留学生3年生!E34</f>
        <v>0</v>
      </c>
      <c r="O29" s="52">
        <f t="shared" si="0"/>
        <v>2052</v>
      </c>
      <c r="P29" s="58">
        <v>5</v>
      </c>
      <c r="Q29" s="14"/>
    </row>
    <row r="30" spans="1:17">
      <c r="I30" s="20" t="s">
        <v>146</v>
      </c>
      <c r="Q30" s="14"/>
    </row>
    <row r="32" spans="1:17">
      <c r="A32" s="13" t="s">
        <v>150</v>
      </c>
      <c r="I32" s="20" t="s">
        <v>183</v>
      </c>
    </row>
    <row r="33" spans="1:16">
      <c r="A33" s="13" t="s">
        <v>153</v>
      </c>
      <c r="B33" s="95" t="s">
        <v>212</v>
      </c>
      <c r="D33" s="20" t="s">
        <v>152</v>
      </c>
      <c r="E33" s="20" t="s">
        <v>213</v>
      </c>
      <c r="I33" s="20" t="s">
        <v>229</v>
      </c>
    </row>
    <row r="34" spans="1:16">
      <c r="A34" s="13" t="s">
        <v>151</v>
      </c>
      <c r="B34" s="95" t="s">
        <v>212</v>
      </c>
      <c r="D34" s="20" t="s">
        <v>233</v>
      </c>
      <c r="E34" s="20" t="s">
        <v>214</v>
      </c>
      <c r="I34" s="13" t="s">
        <v>184</v>
      </c>
    </row>
    <row r="36" spans="1:16">
      <c r="I36" s="20" t="s">
        <v>210</v>
      </c>
    </row>
    <row r="37" spans="1:16" ht="14.1" customHeight="1">
      <c r="D37" s="108" t="s">
        <v>242</v>
      </c>
      <c r="I37" s="162" t="s">
        <v>211</v>
      </c>
      <c r="J37" s="162"/>
      <c r="K37" s="162"/>
      <c r="L37" s="162"/>
      <c r="M37" s="162"/>
      <c r="N37" s="162"/>
      <c r="O37" s="162"/>
      <c r="P37" s="162"/>
    </row>
    <row r="38" spans="1:16">
      <c r="D38" s="109" t="s">
        <v>243</v>
      </c>
      <c r="I38" s="162"/>
      <c r="J38" s="162"/>
      <c r="K38" s="162"/>
      <c r="L38" s="162"/>
      <c r="M38" s="162"/>
      <c r="N38" s="162"/>
      <c r="O38" s="162"/>
      <c r="P38" s="162"/>
    </row>
    <row r="39" spans="1:16">
      <c r="I39" s="13" t="s">
        <v>230</v>
      </c>
    </row>
    <row r="40" spans="1:16">
      <c r="I40" s="163" t="s">
        <v>274</v>
      </c>
      <c r="J40" s="163"/>
      <c r="K40" s="163"/>
      <c r="L40" s="163"/>
      <c r="M40" s="163"/>
      <c r="N40" s="163"/>
      <c r="O40" s="163"/>
      <c r="P40" s="163"/>
    </row>
    <row r="41" spans="1:16">
      <c r="I41" s="163"/>
      <c r="J41" s="163"/>
      <c r="K41" s="163"/>
      <c r="L41" s="163"/>
      <c r="M41" s="163"/>
      <c r="N41" s="163"/>
      <c r="O41" s="163"/>
      <c r="P41" s="163"/>
    </row>
  </sheetData>
  <autoFilter ref="A1:P30"/>
  <customSheetViews>
    <customSheetView guid="{A87E9810-C071-481C-8E97-844F69858952}" scale="85" showPageBreaks="1" printArea="1" showAutoFilter="1" hiddenColumns="1" view="pageBreakPreview" topLeftCell="B1">
      <selection activeCell="L10" sqref="L10:L12"/>
      <pageMargins left="0.25" right="0.25" top="0.75" bottom="0.75" header="0.3" footer="0.3"/>
      <pageSetup paperSize="9" scale="78" orientation="landscape" r:id="rId1"/>
      <autoFilter ref="A1:P29"/>
    </customSheetView>
    <customSheetView guid="{8C3311D4-BF6B-4714-8FEE-EF832EA44719}" scale="85" showPageBreaks="1" printArea="1" showAutoFilter="1" hiddenColumns="1" view="pageBreakPreview" topLeftCell="B1">
      <selection activeCell="E10" sqref="E10"/>
      <pageMargins left="0.25" right="0.25" top="0.75" bottom="0.75" header="0.3" footer="0.3"/>
      <pageSetup paperSize="9" scale="78" orientation="landscape" r:id="rId2"/>
      <autoFilter ref="A1:P30"/>
    </customSheetView>
  </customSheetViews>
  <mergeCells count="2">
    <mergeCell ref="I37:P38"/>
    <mergeCell ref="I40:P41"/>
  </mergeCells>
  <phoneticPr fontId="1"/>
  <conditionalFormatting sqref="O2:O29">
    <cfRule type="cellIs" dxfId="5" priority="2" operator="greaterThan">
      <formula>40000</formula>
    </cfRule>
  </conditionalFormatting>
  <conditionalFormatting sqref="O20:O27">
    <cfRule type="cellIs" dxfId="4" priority="1" operator="greaterThan">
      <formula>20000</formula>
    </cfRule>
  </conditionalFormatting>
  <dataValidations count="2">
    <dataValidation imeMode="off" allowBlank="1" showInputMessage="1" showErrorMessage="1" sqref="I1:K23 C1:C29 L1:N36 L39:N39 L42:N1048576"/>
    <dataValidation imeMode="on" allowBlank="1" showInputMessage="1" showErrorMessage="1" sqref="D24:D29 D1:H23"/>
  </dataValidations>
  <pageMargins left="0.25" right="0.25" top="0.75" bottom="0.75" header="0.3" footer="0.3"/>
  <pageSetup paperSize="9" scale="78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AC26"/>
  <sheetViews>
    <sheetView view="pageBreakPreview" topLeftCell="E1" zoomScale="85" zoomScaleNormal="145" zoomScaleSheetLayoutView="85" workbookViewId="0">
      <selection sqref="A1:E1"/>
    </sheetView>
  </sheetViews>
  <sheetFormatPr defaultRowHeight="13.5"/>
  <cols>
    <col min="1" max="1" width="5.875" style="20" customWidth="1"/>
    <col min="2" max="2" width="35.375" style="20" bestFit="1" customWidth="1"/>
    <col min="3" max="4" width="9" style="20"/>
    <col min="5" max="5" width="9" style="102"/>
    <col min="6" max="6" width="27.125" style="20" bestFit="1" customWidth="1"/>
    <col min="7" max="16384" width="9" style="20"/>
  </cols>
  <sheetData>
    <row r="1" spans="1:29">
      <c r="A1" s="20" t="s">
        <v>221</v>
      </c>
      <c r="B1" s="96"/>
      <c r="E1" s="20"/>
    </row>
    <row r="2" spans="1:29" ht="14.25" thickBot="1">
      <c r="B2" s="96"/>
      <c r="E2" s="20"/>
      <c r="F2" s="63" t="s">
        <v>220</v>
      </c>
      <c r="G2" s="98" t="s">
        <v>196</v>
      </c>
      <c r="H2" s="98" t="s">
        <v>197</v>
      </c>
      <c r="I2" s="98" t="s">
        <v>216</v>
      </c>
      <c r="J2" s="98" t="s">
        <v>199</v>
      </c>
      <c r="K2" s="98" t="s">
        <v>200</v>
      </c>
      <c r="L2" s="98" t="s">
        <v>201</v>
      </c>
      <c r="M2" s="98" t="s">
        <v>180</v>
      </c>
      <c r="N2" s="98" t="s">
        <v>163</v>
      </c>
      <c r="O2" s="98" t="s">
        <v>164</v>
      </c>
      <c r="P2" s="98" t="s">
        <v>165</v>
      </c>
      <c r="Q2" s="98" t="s">
        <v>166</v>
      </c>
      <c r="R2" s="98" t="s">
        <v>167</v>
      </c>
      <c r="S2" s="98" t="s">
        <v>168</v>
      </c>
      <c r="T2" s="98" t="s">
        <v>202</v>
      </c>
      <c r="U2" s="98" t="s">
        <v>170</v>
      </c>
      <c r="V2" s="98" t="s">
        <v>171</v>
      </c>
      <c r="W2" s="98" t="s">
        <v>172</v>
      </c>
      <c r="X2" s="98" t="s">
        <v>173</v>
      </c>
      <c r="Y2" s="98" t="s">
        <v>203</v>
      </c>
      <c r="Z2" s="98" t="s">
        <v>204</v>
      </c>
      <c r="AA2" s="98" t="s">
        <v>176</v>
      </c>
      <c r="AB2" s="98" t="s">
        <v>177</v>
      </c>
      <c r="AC2" s="98" t="s">
        <v>178</v>
      </c>
    </row>
    <row r="3" spans="1:29" ht="13.9" customHeight="1" thickTop="1" thickBot="1">
      <c r="A3" s="89" t="s">
        <v>97</v>
      </c>
      <c r="B3" s="90" t="s">
        <v>194</v>
      </c>
      <c r="C3" s="91" t="s">
        <v>195</v>
      </c>
      <c r="E3" s="20"/>
      <c r="F3" s="59" t="s">
        <v>219</v>
      </c>
      <c r="G3" s="65">
        <v>2000</v>
      </c>
      <c r="H3" s="65">
        <v>2000</v>
      </c>
      <c r="I3" s="65">
        <v>2000</v>
      </c>
      <c r="J3" s="65"/>
      <c r="K3" s="65"/>
      <c r="L3" s="65"/>
      <c r="M3" s="65"/>
      <c r="N3" s="65">
        <v>2000</v>
      </c>
      <c r="O3" s="65">
        <v>2000</v>
      </c>
      <c r="P3" s="65"/>
      <c r="Q3" s="65">
        <v>2000</v>
      </c>
      <c r="R3" s="65"/>
      <c r="S3" s="65">
        <v>2000</v>
      </c>
      <c r="T3" s="65">
        <v>2000</v>
      </c>
      <c r="U3" s="65">
        <v>2000</v>
      </c>
      <c r="V3" s="65"/>
      <c r="W3" s="65"/>
      <c r="X3" s="65"/>
      <c r="Y3" s="65">
        <v>2000</v>
      </c>
      <c r="Z3" s="65">
        <v>2000</v>
      </c>
      <c r="AA3" s="65"/>
      <c r="AB3" s="65"/>
      <c r="AC3" s="65"/>
    </row>
    <row r="4" spans="1:29" ht="13.9" customHeight="1" thickTop="1">
      <c r="A4" s="87" t="s">
        <v>205</v>
      </c>
      <c r="B4" s="88" t="s">
        <v>196</v>
      </c>
      <c r="C4" s="92">
        <f>HLOOKUP(B4,$F$2:$AC$11,10,FALSE)</f>
        <v>20256</v>
      </c>
      <c r="E4" s="20"/>
      <c r="F4" s="58" t="s">
        <v>218</v>
      </c>
      <c r="G4" s="52">
        <v>10000</v>
      </c>
      <c r="H4" s="52">
        <v>10000</v>
      </c>
      <c r="I4" s="52">
        <v>10000</v>
      </c>
      <c r="J4" s="52">
        <v>6900</v>
      </c>
      <c r="K4" s="52">
        <v>6900</v>
      </c>
      <c r="L4" s="52"/>
      <c r="M4" s="52"/>
      <c r="N4" s="52">
        <v>0</v>
      </c>
      <c r="O4" s="52">
        <v>0</v>
      </c>
      <c r="P4" s="52"/>
      <c r="Q4" s="52">
        <v>0</v>
      </c>
      <c r="R4" s="52"/>
      <c r="S4" s="52">
        <v>0</v>
      </c>
      <c r="T4" s="52">
        <v>0</v>
      </c>
      <c r="U4" s="52">
        <v>0</v>
      </c>
      <c r="V4" s="52">
        <v>0</v>
      </c>
      <c r="W4" s="52">
        <v>0</v>
      </c>
      <c r="X4" s="52">
        <v>0</v>
      </c>
      <c r="Y4" s="52"/>
      <c r="Z4" s="52"/>
      <c r="AA4" s="52"/>
      <c r="AB4" s="52"/>
      <c r="AC4" s="52"/>
    </row>
    <row r="5" spans="1:29" ht="13.9" customHeight="1">
      <c r="A5" s="84" t="s">
        <v>205</v>
      </c>
      <c r="B5" s="83" t="s">
        <v>197</v>
      </c>
      <c r="C5" s="93">
        <f t="shared" ref="C5:C26" si="0">HLOOKUP(B5,$F$2:$AC$11,10,FALSE)</f>
        <v>19686</v>
      </c>
      <c r="E5" s="20"/>
      <c r="F5" s="58" t="s">
        <v>217</v>
      </c>
      <c r="G5" s="52">
        <v>5000</v>
      </c>
      <c r="H5" s="52">
        <v>5000</v>
      </c>
      <c r="I5" s="52">
        <v>5000</v>
      </c>
      <c r="J5" s="52">
        <v>5000</v>
      </c>
      <c r="K5" s="52">
        <v>5000</v>
      </c>
      <c r="L5" s="52">
        <v>5000</v>
      </c>
      <c r="M5" s="52">
        <v>5000</v>
      </c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</row>
    <row r="6" spans="1:29" ht="13.9" customHeight="1">
      <c r="A6" s="84" t="s">
        <v>205</v>
      </c>
      <c r="B6" s="83" t="s">
        <v>216</v>
      </c>
      <c r="C6" s="93">
        <f t="shared" si="0"/>
        <v>19686</v>
      </c>
      <c r="E6" s="20"/>
      <c r="F6" s="58" t="s">
        <v>223</v>
      </c>
      <c r="G6" s="52">
        <v>2052</v>
      </c>
      <c r="H6" s="52">
        <v>2052</v>
      </c>
      <c r="I6" s="52">
        <v>2052</v>
      </c>
      <c r="J6" s="52">
        <v>2052</v>
      </c>
      <c r="K6" s="52">
        <v>2052</v>
      </c>
      <c r="L6" s="52">
        <v>2052</v>
      </c>
      <c r="M6" s="52">
        <v>2052</v>
      </c>
      <c r="N6" s="52">
        <v>2052</v>
      </c>
      <c r="O6" s="52">
        <v>2052</v>
      </c>
      <c r="P6" s="52">
        <v>2052</v>
      </c>
      <c r="Q6" s="52">
        <v>2052</v>
      </c>
      <c r="R6" s="52">
        <v>2052</v>
      </c>
      <c r="S6" s="52">
        <v>2052</v>
      </c>
      <c r="T6" s="52">
        <v>2052</v>
      </c>
      <c r="U6" s="52">
        <v>2052</v>
      </c>
      <c r="V6" s="52">
        <v>2052</v>
      </c>
      <c r="W6" s="52">
        <v>2052</v>
      </c>
      <c r="X6" s="52">
        <v>2052</v>
      </c>
      <c r="Y6" s="52">
        <v>2052</v>
      </c>
      <c r="Z6" s="52">
        <v>2052</v>
      </c>
      <c r="AA6" s="52">
        <v>2052</v>
      </c>
      <c r="AB6" s="52">
        <v>2052</v>
      </c>
      <c r="AC6" s="52">
        <v>2052</v>
      </c>
    </row>
    <row r="7" spans="1:29" ht="13.9" customHeight="1">
      <c r="A7" s="84" t="s">
        <v>207</v>
      </c>
      <c r="B7" s="83" t="s">
        <v>199</v>
      </c>
      <c r="C7" s="93">
        <f t="shared" si="0"/>
        <v>16564</v>
      </c>
      <c r="E7" s="20"/>
      <c r="F7" s="58" t="s">
        <v>231</v>
      </c>
      <c r="G7" s="52">
        <f>'一般1年生(情報処理技術学科2年課程)'!E29</f>
        <v>500</v>
      </c>
      <c r="H7" s="52">
        <f>'一般1年生 (情報処理技術学科3年課程)'!E29</f>
        <v>500</v>
      </c>
      <c r="I7" s="52">
        <f>'一般1年生 (情報処理技術学科3年課程)'!E29</f>
        <v>500</v>
      </c>
      <c r="J7" s="52">
        <f>'一般2年生 (情報処理技術学科2年課程)'!E29</f>
        <v>500</v>
      </c>
      <c r="K7" s="52">
        <f>'一般2年生 (情報処理技術学科3年課程)'!E29</f>
        <v>1000</v>
      </c>
      <c r="L7" s="52">
        <f>'一般3年生(情報処理技術学科3年課程)'!E29</f>
        <v>500</v>
      </c>
      <c r="M7" s="52">
        <f>一般4年生!E29</f>
        <v>0</v>
      </c>
      <c r="N7" s="52">
        <f>'一般1年生 (キャリアデザイン)'!E36</f>
        <v>1000</v>
      </c>
      <c r="O7" s="52">
        <f>'一般1年生 (キャリアデザイン)'!E37</f>
        <v>1500</v>
      </c>
      <c r="P7" s="52">
        <f>'一般2年生 (キャリアデザイン)'!E29</f>
        <v>1500</v>
      </c>
      <c r="Q7" s="52">
        <f>'一般1年生 (スポーツ福祉)'!E29</f>
        <v>0</v>
      </c>
      <c r="R7" s="52">
        <f>'一般2年生 (スポーツ福祉)'!E29</f>
        <v>1500</v>
      </c>
      <c r="S7" s="52">
        <f>'一般1年生 (パソコン事務)'!E29</f>
        <v>0</v>
      </c>
      <c r="T7" s="52">
        <f>アスリート1年生!E28</f>
        <v>1000</v>
      </c>
      <c r="U7" s="52">
        <f>アスリート1年生!E29</f>
        <v>1500</v>
      </c>
      <c r="V7" s="52">
        <f>アスリート2年生!E29</f>
        <v>1000</v>
      </c>
      <c r="W7" s="52">
        <f>アスリート2年生!E29</f>
        <v>1000</v>
      </c>
      <c r="X7" s="52">
        <f>アスリート3年生!E29</f>
        <v>1000</v>
      </c>
      <c r="Y7" s="52">
        <f>留学生1年生!E29</f>
        <v>0</v>
      </c>
      <c r="Z7" s="52">
        <f>留学生1年生!E29</f>
        <v>0</v>
      </c>
      <c r="AA7" s="52">
        <f>留学生2年生!E27</f>
        <v>500</v>
      </c>
      <c r="AB7" s="52">
        <f>留学生2年生!E27</f>
        <v>500</v>
      </c>
      <c r="AC7" s="52">
        <f>留学生3年生!E29</f>
        <v>0</v>
      </c>
    </row>
    <row r="8" spans="1:29" s="101" customFormat="1" ht="13.9" customHeight="1">
      <c r="A8" s="84" t="s">
        <v>207</v>
      </c>
      <c r="B8" s="83" t="s">
        <v>200</v>
      </c>
      <c r="C8" s="93">
        <f t="shared" si="0"/>
        <v>15364</v>
      </c>
      <c r="D8" s="20"/>
      <c r="E8" s="20"/>
      <c r="F8" s="58" t="s">
        <v>232</v>
      </c>
      <c r="G8" s="52">
        <v>704</v>
      </c>
      <c r="H8" s="52">
        <v>134</v>
      </c>
      <c r="I8" s="52">
        <v>134</v>
      </c>
      <c r="J8" s="52">
        <v>312</v>
      </c>
      <c r="K8" s="52">
        <v>412</v>
      </c>
      <c r="L8" s="52">
        <v>232</v>
      </c>
      <c r="M8" s="52">
        <v>458</v>
      </c>
      <c r="N8" s="52">
        <v>110</v>
      </c>
      <c r="O8" s="52">
        <v>453</v>
      </c>
      <c r="P8" s="52">
        <v>310</v>
      </c>
      <c r="Q8" s="52">
        <v>448</v>
      </c>
      <c r="R8" s="52">
        <v>310</v>
      </c>
      <c r="S8" s="52">
        <v>148</v>
      </c>
      <c r="T8" s="52">
        <v>769</v>
      </c>
      <c r="U8" s="52">
        <v>633</v>
      </c>
      <c r="V8" s="52">
        <v>151</v>
      </c>
      <c r="W8" s="52">
        <v>716</v>
      </c>
      <c r="X8" s="52">
        <v>604</v>
      </c>
      <c r="Y8" s="52"/>
      <c r="Z8" s="52"/>
      <c r="AA8" s="52"/>
      <c r="AB8" s="52"/>
      <c r="AC8" s="52"/>
    </row>
    <row r="9" spans="1:29" ht="13.9" customHeight="1">
      <c r="A9" s="84" t="s">
        <v>208</v>
      </c>
      <c r="B9" s="83" t="s">
        <v>201</v>
      </c>
      <c r="C9" s="93">
        <f t="shared" si="0"/>
        <v>9584</v>
      </c>
      <c r="E9" s="20"/>
      <c r="F9" s="103" t="s">
        <v>241</v>
      </c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>
        <v>1850</v>
      </c>
      <c r="U9" s="104">
        <v>1850</v>
      </c>
      <c r="V9" s="104">
        <v>3700</v>
      </c>
      <c r="W9" s="104">
        <v>3700</v>
      </c>
      <c r="X9" s="104">
        <v>3700</v>
      </c>
      <c r="Y9" s="104"/>
      <c r="Z9" s="104"/>
      <c r="AA9" s="104"/>
      <c r="AB9" s="104"/>
      <c r="AC9" s="104"/>
    </row>
    <row r="10" spans="1:29" ht="13.9" customHeight="1" thickBot="1">
      <c r="A10" s="84" t="s">
        <v>209</v>
      </c>
      <c r="B10" s="83" t="s">
        <v>180</v>
      </c>
      <c r="C10" s="93">
        <f t="shared" si="0"/>
        <v>9310</v>
      </c>
      <c r="E10" s="20"/>
      <c r="F10" s="66" t="s">
        <v>215</v>
      </c>
      <c r="G10" s="67"/>
      <c r="H10" s="67"/>
      <c r="I10" s="67"/>
      <c r="J10" s="67">
        <v>1800</v>
      </c>
      <c r="K10" s="67"/>
      <c r="L10" s="67">
        <v>1800</v>
      </c>
      <c r="M10" s="67">
        <v>1800</v>
      </c>
      <c r="N10" s="67"/>
      <c r="O10" s="67"/>
      <c r="P10" s="67">
        <v>1800</v>
      </c>
      <c r="Q10" s="67"/>
      <c r="R10" s="67">
        <v>1800</v>
      </c>
      <c r="S10" s="67">
        <v>1800</v>
      </c>
      <c r="T10" s="67"/>
      <c r="U10" s="67"/>
      <c r="V10" s="67"/>
      <c r="W10" s="67"/>
      <c r="X10" s="67">
        <v>1800</v>
      </c>
      <c r="Y10" s="67"/>
      <c r="Z10" s="67"/>
      <c r="AA10" s="67"/>
      <c r="AB10" s="67"/>
      <c r="AC10" s="67"/>
    </row>
    <row r="11" spans="1:29" ht="13.9" customHeight="1" thickTop="1">
      <c r="A11" s="84" t="s">
        <v>205</v>
      </c>
      <c r="B11" s="83" t="s">
        <v>163</v>
      </c>
      <c r="C11" s="93">
        <f t="shared" si="0"/>
        <v>5162</v>
      </c>
      <c r="E11" s="102" t="s">
        <v>228</v>
      </c>
      <c r="F11" s="64" t="s">
        <v>5</v>
      </c>
      <c r="G11" s="97">
        <f t="shared" ref="G11:AC11" si="1">SUM(G3:G10)</f>
        <v>20256</v>
      </c>
      <c r="H11" s="97">
        <f t="shared" si="1"/>
        <v>19686</v>
      </c>
      <c r="I11" s="97">
        <f t="shared" si="1"/>
        <v>19686</v>
      </c>
      <c r="J11" s="97">
        <f t="shared" si="1"/>
        <v>16564</v>
      </c>
      <c r="K11" s="97">
        <f t="shared" si="1"/>
        <v>15364</v>
      </c>
      <c r="L11" s="97">
        <f t="shared" si="1"/>
        <v>9584</v>
      </c>
      <c r="M11" s="97">
        <f t="shared" si="1"/>
        <v>9310</v>
      </c>
      <c r="N11" s="97">
        <f t="shared" si="1"/>
        <v>5162</v>
      </c>
      <c r="O11" s="97">
        <f t="shared" si="1"/>
        <v>6005</v>
      </c>
      <c r="P11" s="97">
        <f t="shared" si="1"/>
        <v>5662</v>
      </c>
      <c r="Q11" s="97">
        <f t="shared" si="1"/>
        <v>4500</v>
      </c>
      <c r="R11" s="97">
        <f t="shared" si="1"/>
        <v>5662</v>
      </c>
      <c r="S11" s="97">
        <f t="shared" si="1"/>
        <v>6000</v>
      </c>
      <c r="T11" s="97">
        <f t="shared" si="1"/>
        <v>7671</v>
      </c>
      <c r="U11" s="97">
        <f t="shared" si="1"/>
        <v>8035</v>
      </c>
      <c r="V11" s="97">
        <f t="shared" si="1"/>
        <v>6903</v>
      </c>
      <c r="W11" s="97">
        <f t="shared" si="1"/>
        <v>7468</v>
      </c>
      <c r="X11" s="97">
        <f t="shared" si="1"/>
        <v>9156</v>
      </c>
      <c r="Y11" s="97">
        <f t="shared" si="1"/>
        <v>4052</v>
      </c>
      <c r="Z11" s="97">
        <f t="shared" si="1"/>
        <v>4052</v>
      </c>
      <c r="AA11" s="97">
        <f t="shared" si="1"/>
        <v>2552</v>
      </c>
      <c r="AB11" s="97">
        <f t="shared" si="1"/>
        <v>2552</v>
      </c>
      <c r="AC11" s="97">
        <f t="shared" si="1"/>
        <v>2052</v>
      </c>
    </row>
    <row r="12" spans="1:29" ht="13.9" customHeight="1">
      <c r="A12" s="84" t="s">
        <v>205</v>
      </c>
      <c r="B12" s="83" t="s">
        <v>164</v>
      </c>
      <c r="C12" s="93">
        <f t="shared" si="0"/>
        <v>6005</v>
      </c>
    </row>
    <row r="13" spans="1:29" ht="13.9" customHeight="1">
      <c r="A13" s="84" t="s">
        <v>207</v>
      </c>
      <c r="B13" s="83" t="s">
        <v>165</v>
      </c>
      <c r="C13" s="93">
        <f t="shared" si="0"/>
        <v>5662</v>
      </c>
      <c r="F13" s="13" t="s">
        <v>225</v>
      </c>
    </row>
    <row r="14" spans="1:29" ht="13.9" customHeight="1">
      <c r="A14" s="84" t="s">
        <v>205</v>
      </c>
      <c r="B14" s="83" t="s">
        <v>166</v>
      </c>
      <c r="C14" s="93">
        <f t="shared" si="0"/>
        <v>4500</v>
      </c>
      <c r="E14" s="102" t="s">
        <v>228</v>
      </c>
      <c r="F14" s="13" t="s">
        <v>226</v>
      </c>
    </row>
    <row r="15" spans="1:29" ht="13.9" customHeight="1">
      <c r="A15" s="84" t="s">
        <v>207</v>
      </c>
      <c r="B15" s="83" t="s">
        <v>167</v>
      </c>
      <c r="C15" s="93">
        <f t="shared" si="0"/>
        <v>5662</v>
      </c>
      <c r="F15" s="13" t="s">
        <v>227</v>
      </c>
    </row>
    <row r="16" spans="1:29" ht="13.9" customHeight="1">
      <c r="A16" s="84" t="s">
        <v>205</v>
      </c>
      <c r="B16" s="83" t="s">
        <v>168</v>
      </c>
      <c r="C16" s="93">
        <f t="shared" si="0"/>
        <v>6000</v>
      </c>
      <c r="F16" s="13" t="s">
        <v>224</v>
      </c>
      <c r="T16" s="20">
        <f>500-184+34</f>
        <v>350</v>
      </c>
    </row>
    <row r="17" spans="1:6" ht="13.9" customHeight="1">
      <c r="A17" s="84" t="s">
        <v>205</v>
      </c>
      <c r="B17" s="83" t="s">
        <v>202</v>
      </c>
      <c r="C17" s="93">
        <f t="shared" si="0"/>
        <v>7671</v>
      </c>
      <c r="F17" s="13"/>
    </row>
    <row r="18" spans="1:6" ht="13.9" customHeight="1">
      <c r="A18" s="84" t="s">
        <v>205</v>
      </c>
      <c r="B18" s="83" t="s">
        <v>170</v>
      </c>
      <c r="C18" s="93">
        <f t="shared" si="0"/>
        <v>8035</v>
      </c>
    </row>
    <row r="19" spans="1:6" ht="13.9" customHeight="1">
      <c r="A19" s="84" t="s">
        <v>207</v>
      </c>
      <c r="B19" s="83" t="s">
        <v>171</v>
      </c>
      <c r="C19" s="93">
        <f t="shared" si="0"/>
        <v>6903</v>
      </c>
    </row>
    <row r="20" spans="1:6" ht="13.9" customHeight="1">
      <c r="A20" s="84" t="s">
        <v>207</v>
      </c>
      <c r="B20" s="83" t="s">
        <v>172</v>
      </c>
      <c r="C20" s="93">
        <f t="shared" si="0"/>
        <v>7468</v>
      </c>
    </row>
    <row r="21" spans="1:6" ht="13.9" customHeight="1">
      <c r="A21" s="84" t="s">
        <v>208</v>
      </c>
      <c r="B21" s="83" t="s">
        <v>173</v>
      </c>
      <c r="C21" s="93">
        <f t="shared" si="0"/>
        <v>9156</v>
      </c>
    </row>
    <row r="22" spans="1:6" ht="13.9" customHeight="1">
      <c r="A22" s="84" t="s">
        <v>205</v>
      </c>
      <c r="B22" s="83" t="s">
        <v>203</v>
      </c>
      <c r="C22" s="93">
        <f t="shared" si="0"/>
        <v>4052</v>
      </c>
    </row>
    <row r="23" spans="1:6" ht="13.9" customHeight="1">
      <c r="A23" s="84" t="s">
        <v>205</v>
      </c>
      <c r="B23" s="83" t="s">
        <v>204</v>
      </c>
      <c r="C23" s="93">
        <f t="shared" si="0"/>
        <v>4052</v>
      </c>
    </row>
    <row r="24" spans="1:6" ht="13.9" customHeight="1">
      <c r="A24" s="84" t="s">
        <v>207</v>
      </c>
      <c r="B24" s="83" t="s">
        <v>176</v>
      </c>
      <c r="C24" s="93">
        <f t="shared" si="0"/>
        <v>2552</v>
      </c>
    </row>
    <row r="25" spans="1:6" ht="13.9" customHeight="1">
      <c r="A25" s="84" t="s">
        <v>207</v>
      </c>
      <c r="B25" s="83" t="s">
        <v>177</v>
      </c>
      <c r="C25" s="93">
        <f t="shared" si="0"/>
        <v>2552</v>
      </c>
    </row>
    <row r="26" spans="1:6" ht="13.9" customHeight="1" thickBot="1">
      <c r="A26" s="85" t="s">
        <v>208</v>
      </c>
      <c r="B26" s="86" t="s">
        <v>178</v>
      </c>
      <c r="C26" s="94">
        <f t="shared" si="0"/>
        <v>2052</v>
      </c>
    </row>
  </sheetData>
  <customSheetViews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8C3311D4-BF6B-4714-8FEE-EF832EA44719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101"/>
  <sheetViews>
    <sheetView view="pageBreakPreview" zoomScale="70" zoomScaleNormal="40" zoomScaleSheetLayoutView="70" workbookViewId="0">
      <pane xSplit="5" ySplit="3" topLeftCell="F19" activePane="bottomRight" state="frozen"/>
      <selection pane="topRight" activeCell="F1" sqref="F1"/>
      <selection pane="bottomLeft" activeCell="A4" sqref="A4"/>
      <selection pane="bottomRight" activeCell="B48" sqref="B48"/>
    </sheetView>
  </sheetViews>
  <sheetFormatPr defaultRowHeight="13.5"/>
  <cols>
    <col min="1" max="1" width="9" style="20"/>
    <col min="2" max="2" width="76.875" bestFit="1" customWidth="1"/>
    <col min="3" max="3" width="34.25" customWidth="1"/>
    <col min="4" max="4" width="11.125" bestFit="1" customWidth="1"/>
    <col min="6" max="7" width="5" customWidth="1"/>
    <col min="8" max="8" width="5" style="20" customWidth="1"/>
    <col min="9" max="11" width="5" customWidth="1"/>
    <col min="12" max="12" width="5" style="20" customWidth="1"/>
    <col min="13" max="13" width="5" customWidth="1" collapsed="1"/>
    <col min="14" max="18" width="5" customWidth="1"/>
    <col min="19" max="19" width="5" customWidth="1" collapsed="1"/>
    <col min="20" max="28" width="5" customWidth="1"/>
    <col min="29" max="29" width="26.125" customWidth="1"/>
  </cols>
  <sheetData>
    <row r="1" spans="1:28" ht="81">
      <c r="A1" s="20" t="s">
        <v>193</v>
      </c>
      <c r="B1" s="70" t="s">
        <v>1</v>
      </c>
      <c r="C1" s="70" t="s">
        <v>2</v>
      </c>
      <c r="D1" s="70" t="s">
        <v>3</v>
      </c>
      <c r="E1" s="70" t="s">
        <v>147</v>
      </c>
      <c r="F1" s="76" t="s">
        <v>158</v>
      </c>
      <c r="G1" s="76" t="s">
        <v>159</v>
      </c>
      <c r="H1" s="76" t="s">
        <v>182</v>
      </c>
      <c r="I1" s="76" t="s">
        <v>160</v>
      </c>
      <c r="J1" s="76" t="s">
        <v>161</v>
      </c>
      <c r="K1" s="76" t="s">
        <v>162</v>
      </c>
      <c r="L1" s="76" t="s">
        <v>180</v>
      </c>
      <c r="M1" s="76" t="s">
        <v>163</v>
      </c>
      <c r="N1" s="76" t="s">
        <v>164</v>
      </c>
      <c r="O1" s="76" t="s">
        <v>165</v>
      </c>
      <c r="P1" s="76" t="s">
        <v>166</v>
      </c>
      <c r="Q1" s="76" t="s">
        <v>167</v>
      </c>
      <c r="R1" s="76" t="s">
        <v>168</v>
      </c>
      <c r="S1" s="76" t="s">
        <v>169</v>
      </c>
      <c r="T1" s="76" t="s">
        <v>170</v>
      </c>
      <c r="U1" s="76" t="s">
        <v>171</v>
      </c>
      <c r="V1" s="76" t="s">
        <v>172</v>
      </c>
      <c r="W1" s="76" t="s">
        <v>173</v>
      </c>
      <c r="X1" s="76" t="s">
        <v>174</v>
      </c>
      <c r="Y1" s="76" t="s">
        <v>175</v>
      </c>
      <c r="Z1" s="76" t="s">
        <v>176</v>
      </c>
      <c r="AA1" s="76" t="s">
        <v>177</v>
      </c>
      <c r="AB1" s="76" t="s">
        <v>178</v>
      </c>
    </row>
    <row r="2" spans="1:28" s="20" customFormat="1">
      <c r="B2" s="70"/>
      <c r="C2" s="70"/>
      <c r="D2" s="70"/>
      <c r="E2" s="70" t="s">
        <v>179</v>
      </c>
      <c r="F2" s="77">
        <v>27</v>
      </c>
      <c r="G2" s="77">
        <v>8</v>
      </c>
      <c r="H2" s="77">
        <v>1</v>
      </c>
      <c r="I2" s="76">
        <v>8</v>
      </c>
      <c r="J2" s="76">
        <v>23</v>
      </c>
      <c r="K2" s="76">
        <v>15</v>
      </c>
      <c r="L2" s="76">
        <v>2</v>
      </c>
      <c r="M2" s="77">
        <v>6</v>
      </c>
      <c r="N2" s="77">
        <v>0</v>
      </c>
      <c r="O2" s="76">
        <v>8</v>
      </c>
      <c r="P2" s="76">
        <v>0</v>
      </c>
      <c r="Q2" s="76">
        <v>3</v>
      </c>
      <c r="R2" s="77">
        <v>1</v>
      </c>
      <c r="S2" s="77">
        <v>28</v>
      </c>
      <c r="T2" s="77">
        <v>0</v>
      </c>
      <c r="U2" s="76">
        <v>24</v>
      </c>
      <c r="V2" s="76">
        <v>0</v>
      </c>
      <c r="W2" s="76">
        <v>15</v>
      </c>
      <c r="X2" s="76">
        <v>148</v>
      </c>
      <c r="Y2" s="76">
        <v>168</v>
      </c>
      <c r="Z2" s="76">
        <v>103</v>
      </c>
      <c r="AA2" s="76">
        <v>128</v>
      </c>
      <c r="AB2" s="76">
        <f>69+5</f>
        <v>74</v>
      </c>
    </row>
    <row r="3" spans="1:28" s="20" customFormat="1" ht="14.25" thickBot="1">
      <c r="B3" s="70"/>
      <c r="C3" s="70"/>
      <c r="D3" s="70"/>
      <c r="E3" s="80" t="s">
        <v>188</v>
      </c>
      <c r="F3" s="76">
        <f>COUNTA(F5:F43)</f>
        <v>6</v>
      </c>
      <c r="G3" s="76">
        <f t="shared" ref="G3:L3" si="0">COUNTA(G5:G43)</f>
        <v>6</v>
      </c>
      <c r="H3" s="76">
        <f t="shared" si="0"/>
        <v>6</v>
      </c>
      <c r="I3" s="76">
        <f t="shared" si="0"/>
        <v>3</v>
      </c>
      <c r="J3" s="76">
        <f t="shared" si="0"/>
        <v>4</v>
      </c>
      <c r="K3" s="76">
        <f t="shared" si="0"/>
        <v>1</v>
      </c>
      <c r="L3" s="76">
        <f t="shared" si="0"/>
        <v>1</v>
      </c>
      <c r="M3" s="76">
        <f t="shared" ref="M3" si="1">COUNTA(M5:M43)</f>
        <v>8</v>
      </c>
      <c r="N3" s="76">
        <f t="shared" ref="N3" si="2">COUNTA(N5:N43)</f>
        <v>9</v>
      </c>
      <c r="O3" s="76">
        <f t="shared" ref="O3" si="3">COUNTA(O5:O43)</f>
        <v>6</v>
      </c>
      <c r="P3" s="76">
        <f t="shared" ref="P3" si="4">COUNTA(P5:P43)</f>
        <v>0</v>
      </c>
      <c r="Q3" s="76">
        <f t="shared" ref="Q3" si="5">COUNTA(Q5:Q43)</f>
        <v>6</v>
      </c>
      <c r="R3" s="76">
        <f t="shared" ref="R3" si="6">COUNTA(R5:R43)</f>
        <v>0</v>
      </c>
      <c r="S3" s="76">
        <f t="shared" ref="S3" si="7">COUNTA(S5:S43)</f>
        <v>4</v>
      </c>
      <c r="T3" s="76">
        <f t="shared" ref="T3" si="8">COUNTA(T5:T43)</f>
        <v>4</v>
      </c>
      <c r="U3" s="76">
        <f t="shared" ref="U3" si="9">COUNTA(U5:U43)</f>
        <v>6</v>
      </c>
      <c r="V3" s="76">
        <f t="shared" ref="V3" si="10">COUNTA(V5:V43)</f>
        <v>6</v>
      </c>
      <c r="W3" s="76">
        <f t="shared" ref="W3" si="11">COUNTA(W5:W43)</f>
        <v>1</v>
      </c>
      <c r="X3" s="76">
        <f t="shared" ref="X3" si="12">COUNTA(X5:X43)</f>
        <v>4</v>
      </c>
      <c r="Y3" s="76">
        <f t="shared" ref="Y3" si="13">COUNTA(Y5:Y43)</f>
        <v>5</v>
      </c>
      <c r="Z3" s="76">
        <f t="shared" ref="Z3" si="14">COUNTA(Z5:Z43)</f>
        <v>4</v>
      </c>
      <c r="AA3" s="76">
        <f t="shared" ref="AA3" si="15">COUNTA(AA5:AA43)</f>
        <v>5</v>
      </c>
      <c r="AB3" s="76">
        <f t="shared" ref="AB3" si="16">COUNTA(AB5:AB43)</f>
        <v>4</v>
      </c>
    </row>
    <row r="4" spans="1:28" s="20" customFormat="1" ht="14.25" thickTop="1">
      <c r="B4" s="78"/>
      <c r="C4" s="78"/>
      <c r="D4" s="78"/>
      <c r="E4" s="82" t="s">
        <v>189</v>
      </c>
      <c r="F4" s="81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</row>
    <row r="5" spans="1:28">
      <c r="A5" s="20">
        <v>1</v>
      </c>
      <c r="B5" s="58" t="s">
        <v>16</v>
      </c>
      <c r="C5" s="58" t="s">
        <v>8</v>
      </c>
      <c r="D5" s="52">
        <v>540</v>
      </c>
      <c r="E5" s="59">
        <f>SUM(F5:AB5)</f>
        <v>350</v>
      </c>
      <c r="F5" s="58"/>
      <c r="G5" s="58"/>
      <c r="H5" s="58"/>
      <c r="I5" s="58"/>
      <c r="J5" s="58"/>
      <c r="K5" s="58"/>
      <c r="L5" s="58"/>
      <c r="M5" s="58">
        <f>$M$2</f>
        <v>6</v>
      </c>
      <c r="N5" s="58">
        <f>$N$2</f>
        <v>0</v>
      </c>
      <c r="O5" s="58"/>
      <c r="P5" s="58"/>
      <c r="Q5" s="58"/>
      <c r="R5" s="58"/>
      <c r="S5" s="58">
        <f>$S$2</f>
        <v>28</v>
      </c>
      <c r="T5" s="58">
        <f>$T$2</f>
        <v>0</v>
      </c>
      <c r="U5" s="58"/>
      <c r="V5" s="58"/>
      <c r="W5" s="58"/>
      <c r="X5" s="58">
        <f>$X$2</f>
        <v>148</v>
      </c>
      <c r="Y5" s="58">
        <f>$Y$2</f>
        <v>168</v>
      </c>
      <c r="Z5" s="58"/>
      <c r="AA5" s="58"/>
      <c r="AB5" s="58"/>
    </row>
    <row r="6" spans="1:28">
      <c r="A6" s="20">
        <v>2</v>
      </c>
      <c r="B6" s="57" t="s">
        <v>22</v>
      </c>
      <c r="C6" s="58" t="s">
        <v>18</v>
      </c>
      <c r="D6" s="52">
        <v>864</v>
      </c>
      <c r="E6" s="58">
        <f t="shared" ref="E6:E42" si="17">SUM(F6:AB6)</f>
        <v>305</v>
      </c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>
        <f>$Z$2</f>
        <v>103</v>
      </c>
      <c r="AA6" s="58">
        <f>$AA$2</f>
        <v>128</v>
      </c>
      <c r="AB6" s="58">
        <f>$AB$2</f>
        <v>74</v>
      </c>
    </row>
    <row r="7" spans="1:28">
      <c r="A7" s="20">
        <v>3</v>
      </c>
      <c r="B7" s="19" t="s">
        <v>94</v>
      </c>
      <c r="C7" s="58" t="s">
        <v>42</v>
      </c>
      <c r="D7" s="72">
        <v>930</v>
      </c>
      <c r="E7" s="58">
        <f t="shared" si="17"/>
        <v>15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>
        <f>$W$2</f>
        <v>15</v>
      </c>
      <c r="X7" s="58"/>
      <c r="Y7" s="58"/>
      <c r="Z7" s="58"/>
      <c r="AA7" s="58"/>
      <c r="AB7" s="58"/>
    </row>
    <row r="8" spans="1:28">
      <c r="A8" s="20">
        <v>4</v>
      </c>
      <c r="B8" s="57" t="s">
        <v>154</v>
      </c>
      <c r="C8" s="58" t="s">
        <v>42</v>
      </c>
      <c r="D8" s="52">
        <v>945</v>
      </c>
      <c r="E8" s="58">
        <f t="shared" si="17"/>
        <v>128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>
        <f>$AA$2</f>
        <v>128</v>
      </c>
      <c r="AB8" s="58"/>
    </row>
    <row r="9" spans="1:28">
      <c r="A9" s="20">
        <v>5</v>
      </c>
      <c r="B9" s="58" t="s">
        <v>83</v>
      </c>
      <c r="C9" s="58" t="s">
        <v>8</v>
      </c>
      <c r="D9" s="52">
        <v>972</v>
      </c>
      <c r="E9" s="58">
        <f t="shared" si="17"/>
        <v>36</v>
      </c>
      <c r="F9" s="58">
        <f>$F$2</f>
        <v>27</v>
      </c>
      <c r="G9" s="58">
        <f>$G$2</f>
        <v>8</v>
      </c>
      <c r="H9" s="58">
        <v>1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</row>
    <row r="10" spans="1:28">
      <c r="A10" s="20">
        <v>6</v>
      </c>
      <c r="B10" s="58" t="s">
        <v>17</v>
      </c>
      <c r="C10" s="58" t="s">
        <v>18</v>
      </c>
      <c r="D10" s="52">
        <v>972</v>
      </c>
      <c r="E10" s="58">
        <f t="shared" si="17"/>
        <v>399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>
        <f>$Y$2</f>
        <v>168</v>
      </c>
      <c r="Z10" s="58">
        <f>$Z$2</f>
        <v>103</v>
      </c>
      <c r="AA10" s="58">
        <f>$AA$2</f>
        <v>128</v>
      </c>
      <c r="AB10" s="58"/>
    </row>
    <row r="11" spans="1:28">
      <c r="A11" s="20">
        <v>7</v>
      </c>
      <c r="B11" s="58" t="s">
        <v>34</v>
      </c>
      <c r="C11" s="58" t="s">
        <v>8</v>
      </c>
      <c r="D11" s="52">
        <v>1005</v>
      </c>
      <c r="E11" s="58">
        <f t="shared" si="17"/>
        <v>6</v>
      </c>
      <c r="F11" s="58"/>
      <c r="G11" s="58"/>
      <c r="H11" s="58"/>
      <c r="I11" s="58"/>
      <c r="J11" s="58"/>
      <c r="K11" s="58"/>
      <c r="L11" s="58"/>
      <c r="M11" s="58">
        <f>$M$2</f>
        <v>6</v>
      </c>
      <c r="N11" s="58">
        <f>$N$2</f>
        <v>0</v>
      </c>
      <c r="O11" s="58"/>
      <c r="P11" s="58"/>
      <c r="Q11" s="58"/>
      <c r="R11" s="58"/>
      <c r="S11" s="58"/>
      <c r="T11" s="58"/>
      <c r="U11" s="58"/>
      <c r="V11" s="24">
        <f>$V$2</f>
        <v>0</v>
      </c>
      <c r="W11" s="58"/>
      <c r="X11" s="58"/>
      <c r="Y11" s="58"/>
      <c r="Z11" s="58"/>
      <c r="AA11" s="58"/>
      <c r="AB11" s="58"/>
    </row>
    <row r="12" spans="1:28">
      <c r="A12" s="20">
        <v>8</v>
      </c>
      <c r="B12" s="24" t="s">
        <v>35</v>
      </c>
      <c r="C12" s="24" t="s">
        <v>37</v>
      </c>
      <c r="D12" s="73">
        <v>1080</v>
      </c>
      <c r="E12" s="58">
        <f t="shared" si="17"/>
        <v>0</v>
      </c>
      <c r="F12" s="58"/>
      <c r="G12" s="58"/>
      <c r="H12" s="58"/>
      <c r="I12" s="58"/>
      <c r="J12" s="58"/>
      <c r="K12" s="58"/>
      <c r="L12" s="58"/>
      <c r="M12" s="58"/>
      <c r="N12" s="58">
        <f>$N$2</f>
        <v>0</v>
      </c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</row>
    <row r="13" spans="1:28">
      <c r="A13" s="20">
        <v>9</v>
      </c>
      <c r="B13" s="24" t="s">
        <v>44</v>
      </c>
      <c r="C13" s="24" t="s">
        <v>37</v>
      </c>
      <c r="D13" s="73">
        <v>1296</v>
      </c>
      <c r="E13" s="58">
        <f t="shared" si="17"/>
        <v>0</v>
      </c>
      <c r="F13" s="58"/>
      <c r="G13" s="58"/>
      <c r="H13" s="58"/>
      <c r="I13" s="58"/>
      <c r="J13" s="58"/>
      <c r="K13" s="58"/>
      <c r="L13" s="58"/>
      <c r="M13" s="58"/>
      <c r="N13" s="58">
        <f>$N$2</f>
        <v>0</v>
      </c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</row>
    <row r="14" spans="1:28">
      <c r="A14" s="20">
        <v>10</v>
      </c>
      <c r="B14" s="24" t="s">
        <v>39</v>
      </c>
      <c r="C14" s="24" t="s">
        <v>8</v>
      </c>
      <c r="D14" s="73">
        <v>1429</v>
      </c>
      <c r="E14" s="58">
        <f t="shared" si="17"/>
        <v>24</v>
      </c>
      <c r="F14" s="58"/>
      <c r="G14" s="58"/>
      <c r="H14" s="58"/>
      <c r="I14" s="58"/>
      <c r="J14" s="58"/>
      <c r="K14" s="58"/>
      <c r="L14" s="58"/>
      <c r="M14" s="58"/>
      <c r="N14" s="58">
        <f>$N$2</f>
        <v>0</v>
      </c>
      <c r="O14" s="58"/>
      <c r="P14" s="58"/>
      <c r="Q14" s="58"/>
      <c r="R14" s="58"/>
      <c r="S14" s="58"/>
      <c r="T14" s="58"/>
      <c r="U14" s="58">
        <f>$U$2</f>
        <v>24</v>
      </c>
      <c r="V14" s="58">
        <f>$V$2</f>
        <v>0</v>
      </c>
      <c r="W14" s="58"/>
      <c r="X14" s="58"/>
      <c r="Y14" s="58"/>
      <c r="Z14" s="58"/>
      <c r="AA14" s="58"/>
      <c r="AB14" s="58"/>
    </row>
    <row r="15" spans="1:28">
      <c r="A15" s="20">
        <v>11</v>
      </c>
      <c r="B15" s="58" t="s">
        <v>48</v>
      </c>
      <c r="C15" s="58" t="s">
        <v>49</v>
      </c>
      <c r="D15" s="52">
        <v>1512</v>
      </c>
      <c r="E15" s="58">
        <f t="shared" si="17"/>
        <v>41</v>
      </c>
      <c r="F15" s="58"/>
      <c r="G15" s="58"/>
      <c r="H15" s="58"/>
      <c r="I15" s="58"/>
      <c r="J15" s="58"/>
      <c r="K15" s="58"/>
      <c r="L15" s="58"/>
      <c r="M15" s="58">
        <f>$M$2</f>
        <v>6</v>
      </c>
      <c r="N15" s="58">
        <f>$N$2</f>
        <v>0</v>
      </c>
      <c r="O15" s="58">
        <f>$O$2</f>
        <v>8</v>
      </c>
      <c r="P15" s="58"/>
      <c r="Q15" s="58">
        <f>$Q$2</f>
        <v>3</v>
      </c>
      <c r="R15" s="58"/>
      <c r="S15" s="58"/>
      <c r="T15" s="58"/>
      <c r="U15" s="58">
        <f>$U$2</f>
        <v>24</v>
      </c>
      <c r="V15" s="58">
        <f>$V$2</f>
        <v>0</v>
      </c>
      <c r="W15" s="58"/>
      <c r="X15" s="58"/>
      <c r="Y15" s="58"/>
      <c r="Z15" s="58"/>
      <c r="AA15" s="58"/>
      <c r="AB15" s="58"/>
    </row>
    <row r="16" spans="1:28">
      <c r="A16" s="20">
        <v>12</v>
      </c>
      <c r="B16" s="29" t="s">
        <v>155</v>
      </c>
      <c r="C16" s="9" t="s">
        <v>29</v>
      </c>
      <c r="D16" s="74">
        <v>1728</v>
      </c>
      <c r="E16" s="58">
        <f t="shared" si="17"/>
        <v>74</v>
      </c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>
        <f>$AB$2</f>
        <v>74</v>
      </c>
    </row>
    <row r="17" spans="1:29">
      <c r="A17" s="20">
        <v>13</v>
      </c>
      <c r="B17" s="19" t="s">
        <v>19</v>
      </c>
      <c r="C17" s="58" t="s">
        <v>20</v>
      </c>
      <c r="D17" s="52">
        <v>1728</v>
      </c>
      <c r="E17" s="58">
        <f t="shared" si="17"/>
        <v>316</v>
      </c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>
        <f>$X$2</f>
        <v>148</v>
      </c>
      <c r="Y17" s="58">
        <f>$Y$2</f>
        <v>168</v>
      </c>
      <c r="Z17" s="58"/>
      <c r="AA17" s="58"/>
      <c r="AB17" s="58"/>
    </row>
    <row r="18" spans="1:29">
      <c r="A18" s="20">
        <v>14</v>
      </c>
      <c r="B18" s="19" t="s">
        <v>27</v>
      </c>
      <c r="C18" s="58" t="s">
        <v>20</v>
      </c>
      <c r="D18" s="52">
        <v>1728</v>
      </c>
      <c r="E18" s="58">
        <f t="shared" si="17"/>
        <v>74</v>
      </c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>
        <f>$AB$2</f>
        <v>74</v>
      </c>
    </row>
    <row r="19" spans="1:29">
      <c r="A19" s="20">
        <v>15</v>
      </c>
      <c r="B19" s="19" t="s">
        <v>26</v>
      </c>
      <c r="C19" s="58" t="s">
        <v>25</v>
      </c>
      <c r="D19" s="52">
        <v>1815</v>
      </c>
      <c r="E19" s="58">
        <f>SUM(F19:AB19)</f>
        <v>103</v>
      </c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>
        <f>$Z$2</f>
        <v>103</v>
      </c>
      <c r="AA19" s="58"/>
      <c r="AB19" s="58"/>
    </row>
    <row r="20" spans="1:29">
      <c r="A20" s="20">
        <v>16</v>
      </c>
      <c r="B20" s="58" t="s">
        <v>38</v>
      </c>
      <c r="C20" s="58" t="s">
        <v>7</v>
      </c>
      <c r="D20" s="52">
        <v>1815</v>
      </c>
      <c r="E20" s="58">
        <f t="shared" si="17"/>
        <v>350</v>
      </c>
      <c r="F20" s="58"/>
      <c r="G20" s="58"/>
      <c r="H20" s="58"/>
      <c r="I20" s="58"/>
      <c r="J20" s="58"/>
      <c r="K20" s="58"/>
      <c r="L20" s="58"/>
      <c r="M20" s="58">
        <f>$M$2</f>
        <v>6</v>
      </c>
      <c r="N20" s="58">
        <f>$N$2</f>
        <v>0</v>
      </c>
      <c r="O20" s="58"/>
      <c r="P20" s="58"/>
      <c r="Q20" s="58"/>
      <c r="R20" s="58"/>
      <c r="S20" s="58">
        <f>$S$2</f>
        <v>28</v>
      </c>
      <c r="T20" s="58">
        <f>$T$2</f>
        <v>0</v>
      </c>
      <c r="U20" s="58"/>
      <c r="V20" s="58"/>
      <c r="W20" s="58"/>
      <c r="X20" s="58">
        <f>$X$2</f>
        <v>148</v>
      </c>
      <c r="Y20" s="58">
        <f>$Y$2</f>
        <v>168</v>
      </c>
      <c r="Z20" s="58"/>
      <c r="AA20" s="58"/>
      <c r="AB20" s="58"/>
    </row>
    <row r="21" spans="1:29">
      <c r="A21" s="20">
        <v>17</v>
      </c>
      <c r="B21" s="57" t="s">
        <v>156</v>
      </c>
      <c r="C21" s="19" t="s">
        <v>21</v>
      </c>
      <c r="D21" s="72">
        <v>1950</v>
      </c>
      <c r="E21" s="58">
        <f t="shared" si="17"/>
        <v>547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>
        <f>$X$2</f>
        <v>148</v>
      </c>
      <c r="Y21" s="58">
        <f>$Y$2</f>
        <v>168</v>
      </c>
      <c r="Z21" s="58">
        <f>$Z$2</f>
        <v>103</v>
      </c>
      <c r="AA21" s="58">
        <f>$AA$2</f>
        <v>128</v>
      </c>
      <c r="AB21" s="58"/>
    </row>
    <row r="22" spans="1:29">
      <c r="A22" s="20">
        <v>18</v>
      </c>
      <c r="B22" s="58" t="s">
        <v>82</v>
      </c>
      <c r="C22" s="58" t="s">
        <v>11</v>
      </c>
      <c r="D22" s="52">
        <v>2052</v>
      </c>
      <c r="E22" s="58">
        <f t="shared" si="17"/>
        <v>105</v>
      </c>
      <c r="F22" s="58">
        <f>$F$2</f>
        <v>27</v>
      </c>
      <c r="G22" s="58">
        <f>$G$2</f>
        <v>8</v>
      </c>
      <c r="H22" s="58">
        <v>1</v>
      </c>
      <c r="I22" s="58"/>
      <c r="J22" s="58"/>
      <c r="K22" s="58"/>
      <c r="L22" s="58"/>
      <c r="M22" s="58">
        <f>$M$2</f>
        <v>6</v>
      </c>
      <c r="N22" s="58"/>
      <c r="O22" s="58">
        <f>$O$2</f>
        <v>8</v>
      </c>
      <c r="P22" s="58"/>
      <c r="Q22" s="58">
        <f>$Q$2</f>
        <v>3</v>
      </c>
      <c r="R22" s="58"/>
      <c r="S22" s="58">
        <f>$S$2</f>
        <v>28</v>
      </c>
      <c r="T22" s="58">
        <f>$T$2</f>
        <v>0</v>
      </c>
      <c r="U22" s="58">
        <f>$U$2</f>
        <v>24</v>
      </c>
      <c r="V22" s="58">
        <f>$V$2</f>
        <v>0</v>
      </c>
      <c r="W22" s="58"/>
      <c r="X22" s="58"/>
      <c r="Y22" s="58"/>
      <c r="Z22" s="58"/>
      <c r="AA22" s="58"/>
      <c r="AB22" s="58"/>
    </row>
    <row r="23" spans="1:29">
      <c r="A23" s="20">
        <v>19</v>
      </c>
      <c r="B23" s="58" t="s">
        <v>144</v>
      </c>
      <c r="C23" s="58" t="s">
        <v>31</v>
      </c>
      <c r="D23" s="52">
        <v>2160</v>
      </c>
      <c r="E23" s="58">
        <f t="shared" si="17"/>
        <v>35</v>
      </c>
      <c r="F23" s="58"/>
      <c r="G23" s="58"/>
      <c r="H23" s="58"/>
      <c r="I23" s="58"/>
      <c r="J23" s="58"/>
      <c r="K23" s="58"/>
      <c r="L23" s="58"/>
      <c r="M23" s="58"/>
      <c r="N23" s="58"/>
      <c r="O23" s="58">
        <f>$O$2</f>
        <v>8</v>
      </c>
      <c r="P23" s="58"/>
      <c r="Q23" s="58">
        <f>$Q$2</f>
        <v>3</v>
      </c>
      <c r="R23" s="58"/>
      <c r="S23" s="58"/>
      <c r="T23" s="58"/>
      <c r="U23" s="58">
        <f>$U$2</f>
        <v>24</v>
      </c>
      <c r="V23" s="58">
        <f>$V$2</f>
        <v>0</v>
      </c>
      <c r="W23" s="58"/>
      <c r="X23" s="58"/>
      <c r="Y23" s="58"/>
      <c r="Z23" s="58"/>
      <c r="AA23" s="58"/>
      <c r="AB23" s="58"/>
    </row>
    <row r="24" spans="1:29">
      <c r="A24" s="20">
        <v>20</v>
      </c>
      <c r="B24" s="58" t="s">
        <v>145</v>
      </c>
      <c r="C24" s="58" t="s">
        <v>31</v>
      </c>
      <c r="D24" s="52">
        <v>2160</v>
      </c>
      <c r="E24" s="58">
        <f t="shared" si="17"/>
        <v>11</v>
      </c>
      <c r="F24" s="58"/>
      <c r="G24" s="58"/>
      <c r="H24" s="58"/>
      <c r="I24" s="58"/>
      <c r="J24" s="58"/>
      <c r="K24" s="58"/>
      <c r="L24" s="58"/>
      <c r="M24" s="58"/>
      <c r="N24" s="58"/>
      <c r="O24" s="58">
        <f>$O$2</f>
        <v>8</v>
      </c>
      <c r="P24" s="58"/>
      <c r="Q24" s="58">
        <f>$Q$2</f>
        <v>3</v>
      </c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</row>
    <row r="25" spans="1:29">
      <c r="A25" s="20">
        <v>21</v>
      </c>
      <c r="B25" s="58" t="s">
        <v>80</v>
      </c>
      <c r="C25" s="33" t="s">
        <v>81</v>
      </c>
      <c r="D25" s="52">
        <v>2160</v>
      </c>
      <c r="E25" s="58">
        <f t="shared" si="17"/>
        <v>36</v>
      </c>
      <c r="F25" s="58">
        <f>$F$2</f>
        <v>27</v>
      </c>
      <c r="G25" s="58">
        <f>$G$2</f>
        <v>8</v>
      </c>
      <c r="H25" s="58">
        <v>1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9" s="20" customFormat="1">
      <c r="B26" s="58" t="s">
        <v>244</v>
      </c>
      <c r="C26" s="113" t="s">
        <v>245</v>
      </c>
      <c r="D26" s="52">
        <v>2160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114" t="s">
        <v>246</v>
      </c>
    </row>
    <row r="27" spans="1:29">
      <c r="A27" s="20">
        <v>22</v>
      </c>
      <c r="B27" s="17" t="s">
        <v>43</v>
      </c>
      <c r="C27" s="58" t="s">
        <v>36</v>
      </c>
      <c r="D27" s="52">
        <v>2160</v>
      </c>
      <c r="E27" s="58">
        <f t="shared" si="17"/>
        <v>34</v>
      </c>
      <c r="F27" s="58"/>
      <c r="G27" s="58"/>
      <c r="H27" s="58"/>
      <c r="I27" s="58"/>
      <c r="J27" s="58"/>
      <c r="K27" s="58"/>
      <c r="L27" s="58"/>
      <c r="M27" s="58">
        <f>$M$2</f>
        <v>6</v>
      </c>
      <c r="N27" s="58">
        <f>$N$2</f>
        <v>0</v>
      </c>
      <c r="O27" s="58"/>
      <c r="P27" s="58"/>
      <c r="Q27" s="58"/>
      <c r="R27" s="58"/>
      <c r="S27" s="58">
        <f>$S$2</f>
        <v>28</v>
      </c>
      <c r="T27" s="58">
        <f>$T$2</f>
        <v>0</v>
      </c>
      <c r="U27" s="58"/>
      <c r="V27" s="58"/>
      <c r="W27" s="58"/>
      <c r="X27" s="58"/>
      <c r="Y27" s="58"/>
      <c r="Z27" s="58"/>
      <c r="AA27" s="58"/>
      <c r="AB27" s="58"/>
    </row>
    <row r="28" spans="1:29">
      <c r="A28" s="20">
        <v>23</v>
      </c>
      <c r="B28" s="24" t="s">
        <v>79</v>
      </c>
      <c r="C28" s="24" t="s">
        <v>8</v>
      </c>
      <c r="D28" s="73">
        <v>2160</v>
      </c>
      <c r="E28" s="58">
        <f t="shared" si="17"/>
        <v>0</v>
      </c>
      <c r="F28" s="58"/>
      <c r="G28" s="58"/>
      <c r="H28" s="58"/>
      <c r="I28" s="58"/>
      <c r="J28" s="58"/>
      <c r="K28" s="58"/>
      <c r="L28" s="58"/>
      <c r="M28" s="58"/>
      <c r="N28" s="58">
        <f>$N$2</f>
        <v>0</v>
      </c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9">
      <c r="A29" s="20">
        <v>24</v>
      </c>
      <c r="B29" s="58" t="s">
        <v>32</v>
      </c>
      <c r="C29" s="58" t="s">
        <v>30</v>
      </c>
      <c r="D29" s="52">
        <v>2376</v>
      </c>
      <c r="E29" s="58">
        <f t="shared" si="17"/>
        <v>35</v>
      </c>
      <c r="F29" s="58"/>
      <c r="G29" s="58"/>
      <c r="H29" s="58"/>
      <c r="I29" s="58"/>
      <c r="J29" s="58"/>
      <c r="K29" s="58"/>
      <c r="L29" s="58"/>
      <c r="M29" s="58"/>
      <c r="N29" s="58"/>
      <c r="O29" s="58">
        <f>$O$2</f>
        <v>8</v>
      </c>
      <c r="P29" s="58"/>
      <c r="Q29" s="58">
        <f>$Q$2</f>
        <v>3</v>
      </c>
      <c r="R29" s="58"/>
      <c r="S29" s="58"/>
      <c r="T29" s="58"/>
      <c r="U29" s="58">
        <f>$U$2</f>
        <v>24</v>
      </c>
      <c r="V29" s="58">
        <f>$V$2</f>
        <v>0</v>
      </c>
      <c r="W29" s="58"/>
      <c r="X29" s="58"/>
      <c r="Y29" s="58"/>
      <c r="Z29" s="58"/>
      <c r="AA29" s="58"/>
      <c r="AB29" s="58"/>
    </row>
    <row r="30" spans="1:29">
      <c r="A30" s="20">
        <v>25</v>
      </c>
      <c r="B30" s="58" t="s">
        <v>84</v>
      </c>
      <c r="C30" s="58" t="s">
        <v>85</v>
      </c>
      <c r="D30" s="52">
        <v>2376</v>
      </c>
      <c r="E30" s="58">
        <f t="shared" si="17"/>
        <v>36</v>
      </c>
      <c r="F30" s="58">
        <f>$F$2</f>
        <v>27</v>
      </c>
      <c r="G30" s="58">
        <f>$G$2</f>
        <v>8</v>
      </c>
      <c r="H30" s="58">
        <v>1</v>
      </c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9">
      <c r="A31" s="20">
        <v>26</v>
      </c>
      <c r="B31" s="57" t="s">
        <v>90</v>
      </c>
      <c r="C31" s="58" t="s">
        <v>9</v>
      </c>
      <c r="D31" s="52">
        <v>2484</v>
      </c>
      <c r="E31" s="58">
        <f t="shared" si="17"/>
        <v>31</v>
      </c>
      <c r="F31" s="58"/>
      <c r="G31" s="58"/>
      <c r="H31" s="58"/>
      <c r="I31" s="58">
        <f>$I$2</f>
        <v>8</v>
      </c>
      <c r="J31" s="58">
        <f>$J$2</f>
        <v>23</v>
      </c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</row>
    <row r="32" spans="1:29" hidden="1">
      <c r="A32" s="20">
        <v>27</v>
      </c>
      <c r="B32" s="29" t="s">
        <v>157</v>
      </c>
      <c r="C32" s="9" t="s">
        <v>45</v>
      </c>
      <c r="D32" s="74">
        <v>2570</v>
      </c>
      <c r="E32" s="58">
        <f t="shared" si="17"/>
        <v>0</v>
      </c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24"/>
      <c r="AB32" s="58"/>
    </row>
    <row r="33" spans="1:28">
      <c r="A33" s="20">
        <v>28</v>
      </c>
      <c r="B33" s="24" t="s">
        <v>74</v>
      </c>
      <c r="C33" s="24" t="s">
        <v>11</v>
      </c>
      <c r="D33" s="73">
        <v>2570</v>
      </c>
      <c r="E33" s="58">
        <f t="shared" si="17"/>
        <v>200</v>
      </c>
      <c r="F33" s="58"/>
      <c r="G33" s="58"/>
      <c r="H33" s="58"/>
      <c r="I33" s="58">
        <v>8</v>
      </c>
      <c r="J33" s="58">
        <v>23</v>
      </c>
      <c r="K33" s="58"/>
      <c r="L33" s="58"/>
      <c r="M33" s="58">
        <f>$M$2</f>
        <v>6</v>
      </c>
      <c r="N33" s="58"/>
      <c r="O33" s="58">
        <f>$O$2</f>
        <v>8</v>
      </c>
      <c r="P33" s="58"/>
      <c r="Q33" s="58">
        <f>$Q$2</f>
        <v>3</v>
      </c>
      <c r="R33" s="58"/>
      <c r="S33" s="58"/>
      <c r="T33" s="58"/>
      <c r="U33" s="24">
        <f>$U$2</f>
        <v>24</v>
      </c>
      <c r="V33" s="58"/>
      <c r="W33" s="58"/>
      <c r="X33" s="58"/>
      <c r="Y33" s="58"/>
      <c r="Z33" s="58"/>
      <c r="AA33" s="58">
        <v>128</v>
      </c>
      <c r="AB33" s="58"/>
    </row>
    <row r="34" spans="1:28" hidden="1">
      <c r="A34" s="20">
        <v>29</v>
      </c>
      <c r="B34" s="58" t="s">
        <v>88</v>
      </c>
      <c r="C34" s="58" t="s">
        <v>11</v>
      </c>
      <c r="D34" s="52">
        <v>2570</v>
      </c>
      <c r="E34" s="58">
        <f t="shared" si="17"/>
        <v>0</v>
      </c>
      <c r="F34" s="58"/>
      <c r="G34" s="24"/>
      <c r="H34" s="24"/>
      <c r="I34" s="24"/>
      <c r="J34" s="24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</row>
    <row r="35" spans="1:28">
      <c r="A35" s="20">
        <v>30</v>
      </c>
      <c r="B35" s="58" t="s">
        <v>10</v>
      </c>
      <c r="C35" s="58" t="s">
        <v>11</v>
      </c>
      <c r="D35" s="52">
        <v>2678</v>
      </c>
      <c r="E35" s="58">
        <f t="shared" si="17"/>
        <v>36</v>
      </c>
      <c r="F35" s="58">
        <f>$F$2</f>
        <v>27</v>
      </c>
      <c r="G35" s="58">
        <f>$G$2</f>
        <v>8</v>
      </c>
      <c r="H35" s="58">
        <v>1</v>
      </c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</row>
    <row r="36" spans="1:28">
      <c r="A36" s="20">
        <v>31</v>
      </c>
      <c r="B36" s="26" t="s">
        <v>76</v>
      </c>
      <c r="C36" s="9" t="s">
        <v>28</v>
      </c>
      <c r="D36" s="74">
        <v>2700</v>
      </c>
      <c r="E36" s="58">
        <f t="shared" si="17"/>
        <v>0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99"/>
    </row>
    <row r="37" spans="1:28">
      <c r="A37" s="20">
        <v>32</v>
      </c>
      <c r="B37" s="58" t="s">
        <v>91</v>
      </c>
      <c r="C37" s="58" t="s">
        <v>87</v>
      </c>
      <c r="D37" s="52">
        <v>2700</v>
      </c>
      <c r="E37" s="58">
        <f t="shared" si="17"/>
        <v>23</v>
      </c>
      <c r="F37" s="58"/>
      <c r="G37" s="58"/>
      <c r="H37" s="58"/>
      <c r="I37" s="58"/>
      <c r="J37" s="58">
        <f>$J$2</f>
        <v>23</v>
      </c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</row>
    <row r="38" spans="1:28" s="20" customFormat="1">
      <c r="B38" s="117" t="s">
        <v>311</v>
      </c>
      <c r="C38" s="117" t="s">
        <v>312</v>
      </c>
      <c r="D38" s="52">
        <v>2592</v>
      </c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</row>
    <row r="39" spans="1:28">
      <c r="A39" s="20">
        <v>33</v>
      </c>
      <c r="B39" s="58" t="s">
        <v>86</v>
      </c>
      <c r="C39" s="58" t="s">
        <v>87</v>
      </c>
      <c r="D39" s="52">
        <v>2808</v>
      </c>
      <c r="E39" s="58">
        <f t="shared" si="17"/>
        <v>36</v>
      </c>
      <c r="F39" s="58">
        <f>$F$2</f>
        <v>27</v>
      </c>
      <c r="G39" s="58">
        <f>$G$2</f>
        <v>8</v>
      </c>
      <c r="H39" s="58">
        <v>1</v>
      </c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</row>
    <row r="40" spans="1:28">
      <c r="A40" s="20">
        <v>34</v>
      </c>
      <c r="B40" s="58" t="s">
        <v>89</v>
      </c>
      <c r="C40" s="58" t="s">
        <v>87</v>
      </c>
      <c r="D40" s="52">
        <v>3024</v>
      </c>
      <c r="E40" s="58">
        <f t="shared" si="17"/>
        <v>31</v>
      </c>
      <c r="F40" s="58"/>
      <c r="G40" s="58"/>
      <c r="H40" s="58"/>
      <c r="I40" s="58">
        <f>$I$2</f>
        <v>8</v>
      </c>
      <c r="J40" s="58">
        <f>$J$2</f>
        <v>23</v>
      </c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</row>
    <row r="41" spans="1:28">
      <c r="A41" s="20">
        <v>35</v>
      </c>
      <c r="B41" s="58" t="s">
        <v>92</v>
      </c>
      <c r="C41" s="58" t="s">
        <v>93</v>
      </c>
      <c r="D41" s="52">
        <v>3218</v>
      </c>
      <c r="E41" s="58">
        <f t="shared" si="17"/>
        <v>15</v>
      </c>
      <c r="F41" s="58"/>
      <c r="G41" s="58"/>
      <c r="H41" s="58"/>
      <c r="I41" s="58"/>
      <c r="J41" s="58"/>
      <c r="K41" s="58">
        <f>$K$2</f>
        <v>15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</row>
    <row r="42" spans="1:28">
      <c r="A42" s="20">
        <v>36</v>
      </c>
      <c r="B42" s="19" t="s">
        <v>24</v>
      </c>
      <c r="C42" s="58" t="s">
        <v>23</v>
      </c>
      <c r="D42" s="52">
        <v>3456</v>
      </c>
      <c r="E42" s="58">
        <f t="shared" si="17"/>
        <v>74</v>
      </c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>
        <f>$AB$2</f>
        <v>74</v>
      </c>
    </row>
    <row r="43" spans="1:28">
      <c r="A43" s="20">
        <v>37</v>
      </c>
      <c r="B43" s="40" t="s">
        <v>185</v>
      </c>
      <c r="C43" s="40" t="s">
        <v>186</v>
      </c>
      <c r="D43" s="75">
        <v>1922</v>
      </c>
      <c r="E43" s="58">
        <v>6</v>
      </c>
      <c r="F43" s="58"/>
      <c r="G43" s="58"/>
      <c r="H43" s="58"/>
      <c r="I43" s="58"/>
      <c r="J43" s="58"/>
      <c r="K43" s="58"/>
      <c r="L43" s="58" t="s">
        <v>275</v>
      </c>
      <c r="M43" s="58">
        <v>6</v>
      </c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</row>
    <row r="44" spans="1:28" s="20" customFormat="1">
      <c r="A44" s="20">
        <v>38</v>
      </c>
      <c r="B44" s="40" t="s">
        <v>260</v>
      </c>
      <c r="C44" s="40" t="s">
        <v>186</v>
      </c>
      <c r="D44" s="75">
        <v>7010</v>
      </c>
      <c r="E44" s="58">
        <v>6</v>
      </c>
      <c r="F44" s="58"/>
      <c r="G44" s="58"/>
      <c r="H44" s="58"/>
      <c r="I44" s="58"/>
      <c r="J44" s="58"/>
      <c r="K44" s="58"/>
      <c r="L44" s="58"/>
      <c r="M44" s="58">
        <v>6</v>
      </c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</row>
    <row r="45" spans="1:28">
      <c r="B45" s="79"/>
    </row>
    <row r="46" spans="1:28">
      <c r="B46" s="79" t="s">
        <v>187</v>
      </c>
    </row>
    <row r="47" spans="1:28">
      <c r="B47" s="32"/>
    </row>
    <row r="48" spans="1:28">
      <c r="C48" s="20"/>
      <c r="G48" s="20"/>
      <c r="H48"/>
      <c r="L48"/>
    </row>
    <row r="49" spans="3:12">
      <c r="C49" s="20"/>
      <c r="G49" s="20"/>
      <c r="H49"/>
      <c r="L49"/>
    </row>
    <row r="50" spans="3:12">
      <c r="C50" s="20"/>
      <c r="G50" s="20"/>
      <c r="H50"/>
      <c r="L50"/>
    </row>
    <row r="51" spans="3:12">
      <c r="C51" s="20"/>
      <c r="G51" s="20"/>
      <c r="H51"/>
      <c r="L51"/>
    </row>
    <row r="52" spans="3:12">
      <c r="C52" s="20"/>
      <c r="G52" s="20"/>
      <c r="H52"/>
      <c r="L52"/>
    </row>
    <row r="53" spans="3:12">
      <c r="C53" s="20"/>
      <c r="G53" s="20"/>
      <c r="H53"/>
      <c r="L53"/>
    </row>
    <row r="54" spans="3:12">
      <c r="C54" s="20"/>
      <c r="G54" s="20"/>
      <c r="H54"/>
      <c r="L54"/>
    </row>
    <row r="55" spans="3:12">
      <c r="C55" s="20"/>
      <c r="G55" s="20"/>
      <c r="H55"/>
      <c r="L55"/>
    </row>
    <row r="56" spans="3:12">
      <c r="C56" s="20"/>
      <c r="G56" s="20"/>
      <c r="H56"/>
      <c r="L56"/>
    </row>
    <row r="57" spans="3:12">
      <c r="C57" s="20"/>
      <c r="G57" s="20"/>
      <c r="H57"/>
      <c r="L57"/>
    </row>
    <row r="58" spans="3:12">
      <c r="C58" s="20"/>
      <c r="G58" s="20"/>
      <c r="H58"/>
      <c r="L58"/>
    </row>
    <row r="59" spans="3:12">
      <c r="C59" s="20"/>
      <c r="G59" s="20"/>
      <c r="H59"/>
      <c r="L59"/>
    </row>
    <row r="60" spans="3:12">
      <c r="C60" s="20"/>
      <c r="G60" s="20"/>
      <c r="H60"/>
      <c r="L60"/>
    </row>
    <row r="61" spans="3:12">
      <c r="C61" s="20"/>
      <c r="G61" s="20"/>
      <c r="H61"/>
      <c r="L61"/>
    </row>
    <row r="62" spans="3:12">
      <c r="C62" s="20"/>
      <c r="G62" s="20"/>
      <c r="H62"/>
      <c r="L62"/>
    </row>
    <row r="63" spans="3:12">
      <c r="C63" s="20"/>
      <c r="G63" s="20"/>
      <c r="H63"/>
      <c r="L63"/>
    </row>
    <row r="64" spans="3:12">
      <c r="C64" s="20"/>
      <c r="G64" s="20"/>
      <c r="H64"/>
      <c r="L64"/>
    </row>
    <row r="65" spans="3:12">
      <c r="C65" s="20"/>
      <c r="G65" s="20"/>
      <c r="H65"/>
      <c r="L65"/>
    </row>
    <row r="66" spans="3:12">
      <c r="C66" s="20"/>
      <c r="G66" s="20"/>
      <c r="H66"/>
      <c r="L66"/>
    </row>
    <row r="67" spans="3:12">
      <c r="C67" s="20"/>
      <c r="G67" s="20"/>
      <c r="H67"/>
      <c r="L67"/>
    </row>
    <row r="68" spans="3:12">
      <c r="C68" s="20"/>
      <c r="G68" s="20"/>
      <c r="H68"/>
      <c r="L68"/>
    </row>
    <row r="69" spans="3:12">
      <c r="C69" s="20"/>
      <c r="G69" s="20"/>
      <c r="H69"/>
      <c r="L69"/>
    </row>
    <row r="70" spans="3:12">
      <c r="C70" s="20"/>
      <c r="G70" s="20"/>
      <c r="H70"/>
      <c r="L70"/>
    </row>
    <row r="71" spans="3:12">
      <c r="C71" s="20"/>
      <c r="G71" s="20"/>
      <c r="H71"/>
      <c r="L71"/>
    </row>
    <row r="72" spans="3:12">
      <c r="C72" s="20"/>
      <c r="G72" s="20"/>
      <c r="H72"/>
      <c r="L72"/>
    </row>
    <row r="73" spans="3:12">
      <c r="C73" s="20"/>
      <c r="G73" s="20"/>
      <c r="H73"/>
      <c r="L73"/>
    </row>
    <row r="74" spans="3:12">
      <c r="C74" s="20"/>
      <c r="G74" s="20"/>
      <c r="H74"/>
      <c r="L74"/>
    </row>
    <row r="75" spans="3:12">
      <c r="C75" s="20"/>
      <c r="G75" s="20"/>
      <c r="H75"/>
      <c r="L75"/>
    </row>
    <row r="76" spans="3:12">
      <c r="C76" s="20"/>
      <c r="G76" s="20"/>
      <c r="H76"/>
      <c r="L76"/>
    </row>
    <row r="77" spans="3:12">
      <c r="C77" s="20"/>
      <c r="G77" s="20"/>
      <c r="H77"/>
      <c r="L77"/>
    </row>
    <row r="78" spans="3:12">
      <c r="C78" s="20"/>
      <c r="G78" s="20"/>
      <c r="H78"/>
      <c r="L78"/>
    </row>
    <row r="79" spans="3:12">
      <c r="C79" s="20"/>
      <c r="G79" s="20"/>
      <c r="H79"/>
      <c r="L79"/>
    </row>
    <row r="80" spans="3:12">
      <c r="C80" s="20"/>
      <c r="G80" s="20"/>
      <c r="H80"/>
      <c r="L80"/>
    </row>
    <row r="81" spans="3:12">
      <c r="C81" s="20"/>
      <c r="G81" s="20"/>
      <c r="H81"/>
      <c r="L81"/>
    </row>
    <row r="82" spans="3:12">
      <c r="C82" s="20"/>
      <c r="G82" s="20"/>
      <c r="H82"/>
      <c r="L82"/>
    </row>
    <row r="83" spans="3:12">
      <c r="C83" s="20"/>
      <c r="G83" s="20"/>
      <c r="H83"/>
      <c r="L83"/>
    </row>
    <row r="84" spans="3:12">
      <c r="C84" s="20"/>
      <c r="G84" s="20"/>
      <c r="H84"/>
      <c r="L84"/>
    </row>
    <row r="85" spans="3:12">
      <c r="C85" s="20"/>
      <c r="G85" s="20"/>
      <c r="H85"/>
      <c r="L85"/>
    </row>
    <row r="86" spans="3:12">
      <c r="C86" s="20"/>
      <c r="G86" s="20"/>
      <c r="H86"/>
      <c r="L86"/>
    </row>
    <row r="87" spans="3:12">
      <c r="C87" s="20"/>
      <c r="G87" s="20"/>
      <c r="H87"/>
      <c r="L87"/>
    </row>
    <row r="88" spans="3:12">
      <c r="C88" s="20"/>
      <c r="G88" s="20"/>
      <c r="H88"/>
      <c r="L88"/>
    </row>
    <row r="89" spans="3:12">
      <c r="C89" s="20"/>
      <c r="G89" s="20"/>
      <c r="H89"/>
      <c r="L89"/>
    </row>
    <row r="90" spans="3:12">
      <c r="C90" s="20"/>
      <c r="G90" s="20"/>
      <c r="H90"/>
      <c r="L90"/>
    </row>
    <row r="91" spans="3:12">
      <c r="C91" s="20"/>
      <c r="G91" s="20"/>
      <c r="H91"/>
      <c r="L91"/>
    </row>
    <row r="92" spans="3:12">
      <c r="C92" s="20"/>
      <c r="G92" s="20"/>
      <c r="H92"/>
      <c r="L92"/>
    </row>
    <row r="93" spans="3:12">
      <c r="C93" s="20"/>
      <c r="G93" s="20"/>
      <c r="H93"/>
      <c r="L93"/>
    </row>
    <row r="94" spans="3:12">
      <c r="C94" s="20"/>
      <c r="G94" s="20"/>
      <c r="H94"/>
      <c r="L94"/>
    </row>
    <row r="95" spans="3:12">
      <c r="C95" s="20"/>
      <c r="G95" s="20"/>
      <c r="H95"/>
      <c r="L95"/>
    </row>
    <row r="96" spans="3:12">
      <c r="C96" s="20"/>
      <c r="G96" s="20"/>
      <c r="H96"/>
      <c r="L96"/>
    </row>
    <row r="97" spans="3:12">
      <c r="C97" s="20"/>
      <c r="G97" s="20"/>
      <c r="H97"/>
      <c r="L97"/>
    </row>
    <row r="98" spans="3:12">
      <c r="C98" s="20"/>
      <c r="G98" s="20"/>
      <c r="H98"/>
      <c r="L98"/>
    </row>
    <row r="99" spans="3:12">
      <c r="C99" s="20"/>
      <c r="G99" s="20"/>
      <c r="H99"/>
      <c r="L99"/>
    </row>
    <row r="100" spans="3:12">
      <c r="C100" s="20"/>
      <c r="G100" s="20"/>
      <c r="H100"/>
      <c r="L100"/>
    </row>
    <row r="101" spans="3:12">
      <c r="C101" s="20"/>
      <c r="G101" s="20"/>
      <c r="H101"/>
      <c r="L101"/>
    </row>
  </sheetData>
  <customSheetViews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8C3311D4-BF6B-4714-8FEE-EF832EA44719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="115" zoomScaleNormal="100" zoomScaleSheetLayoutView="115" workbookViewId="0">
      <selection activeCell="B37" sqref="B37"/>
    </sheetView>
  </sheetViews>
  <sheetFormatPr defaultRowHeight="13.5"/>
  <cols>
    <col min="1" max="1" width="36.125" style="32" bestFit="1" customWidth="1"/>
    <col min="2" max="2" width="26.375" style="32" customWidth="1"/>
    <col min="3" max="16384" width="9" style="32"/>
  </cols>
  <sheetData>
    <row r="1" spans="1:2">
      <c r="A1" s="32" t="s">
        <v>72</v>
      </c>
      <c r="B1" s="100">
        <v>42829.544768518521</v>
      </c>
    </row>
    <row r="2" spans="1:2">
      <c r="A2" s="58" t="s">
        <v>50</v>
      </c>
      <c r="B2" s="58" t="s">
        <v>51</v>
      </c>
    </row>
    <row r="3" spans="1:2">
      <c r="A3" s="58" t="s">
        <v>52</v>
      </c>
      <c r="B3" s="58" t="s">
        <v>71</v>
      </c>
    </row>
    <row r="4" spans="1:2">
      <c r="A4" s="58" t="s">
        <v>53</v>
      </c>
      <c r="B4" s="58" t="s">
        <v>71</v>
      </c>
    </row>
    <row r="5" spans="1:2">
      <c r="A5" s="58" t="s">
        <v>54</v>
      </c>
      <c r="B5" s="58" t="s">
        <v>71</v>
      </c>
    </row>
    <row r="6" spans="1:2">
      <c r="A6" s="58" t="s">
        <v>55</v>
      </c>
      <c r="B6" s="58" t="s">
        <v>71</v>
      </c>
    </row>
    <row r="7" spans="1:2">
      <c r="A7" s="58" t="s">
        <v>56</v>
      </c>
      <c r="B7" s="58" t="s">
        <v>71</v>
      </c>
    </row>
    <row r="8" spans="1:2">
      <c r="A8" s="58" t="s">
        <v>57</v>
      </c>
      <c r="B8" s="58" t="s">
        <v>71</v>
      </c>
    </row>
    <row r="9" spans="1:2">
      <c r="A9" s="58" t="s">
        <v>58</v>
      </c>
      <c r="B9" s="58" t="s">
        <v>70</v>
      </c>
    </row>
    <row r="10" spans="1:2">
      <c r="A10" s="58" t="s">
        <v>59</v>
      </c>
      <c r="B10" s="58" t="s">
        <v>71</v>
      </c>
    </row>
    <row r="11" spans="1:2">
      <c r="A11" s="58" t="s">
        <v>60</v>
      </c>
      <c r="B11" s="58" t="s">
        <v>71</v>
      </c>
    </row>
    <row r="12" spans="1:2">
      <c r="A12" s="58" t="s">
        <v>61</v>
      </c>
      <c r="B12" s="58" t="s">
        <v>71</v>
      </c>
    </row>
    <row r="13" spans="1:2">
      <c r="A13" s="58" t="s">
        <v>62</v>
      </c>
      <c r="B13" s="58" t="s">
        <v>70</v>
      </c>
    </row>
    <row r="14" spans="1:2">
      <c r="A14" s="58" t="s">
        <v>63</v>
      </c>
      <c r="B14" s="58" t="s">
        <v>71</v>
      </c>
    </row>
    <row r="15" spans="1:2">
      <c r="A15" s="58" t="s">
        <v>64</v>
      </c>
      <c r="B15" s="58" t="s">
        <v>71</v>
      </c>
    </row>
    <row r="16" spans="1:2">
      <c r="A16" s="58" t="s">
        <v>65</v>
      </c>
      <c r="B16" s="58" t="s">
        <v>71</v>
      </c>
    </row>
    <row r="17" spans="1:2">
      <c r="A17" s="58" t="s">
        <v>66</v>
      </c>
      <c r="B17" s="58" t="s">
        <v>71</v>
      </c>
    </row>
    <row r="18" spans="1:2">
      <c r="A18" s="58" t="s">
        <v>67</v>
      </c>
      <c r="B18" s="58" t="s">
        <v>71</v>
      </c>
    </row>
    <row r="19" spans="1:2">
      <c r="A19" s="58" t="s">
        <v>68</v>
      </c>
      <c r="B19" s="58" t="s">
        <v>71</v>
      </c>
    </row>
    <row r="20" spans="1:2">
      <c r="A20" s="58" t="s">
        <v>69</v>
      </c>
      <c r="B20" s="58" t="s">
        <v>71</v>
      </c>
    </row>
  </sheetData>
  <customSheetViews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1"/>
    </customSheetView>
    <customSheetView guid="{8C3311D4-BF6B-4714-8FEE-EF832EA44719}" scale="115" showPageBreaks="1" view="pageBreakPreview">
      <selection activeCell="B37" sqref="B37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4"/>
  <sheetViews>
    <sheetView view="pageBreakPreview" zoomScale="70" zoomScaleNormal="100" zoomScaleSheetLayoutView="70" workbookViewId="0">
      <selection activeCell="C22" sqref="C22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45.25" customWidth="1"/>
  </cols>
  <sheetData>
    <row r="1" spans="1:8">
      <c r="A1" s="164" t="s">
        <v>276</v>
      </c>
      <c r="B1" s="164"/>
      <c r="C1" s="164"/>
      <c r="D1" s="164"/>
      <c r="E1" s="164"/>
      <c r="F1" s="69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>
      <c r="A4" s="1" t="s">
        <v>301</v>
      </c>
      <c r="B4" s="21" t="s">
        <v>296</v>
      </c>
      <c r="C4" s="17" t="s">
        <v>302</v>
      </c>
      <c r="D4" s="11" t="s">
        <v>303</v>
      </c>
      <c r="E4" s="27">
        <v>2462</v>
      </c>
      <c r="F4" s="57"/>
      <c r="G4" s="6"/>
      <c r="H4" s="6"/>
    </row>
    <row r="5" spans="1:8">
      <c r="A5" s="1" t="s">
        <v>307</v>
      </c>
      <c r="B5" s="21" t="s">
        <v>6</v>
      </c>
      <c r="C5" s="17" t="s">
        <v>308</v>
      </c>
      <c r="D5" s="1" t="s">
        <v>309</v>
      </c>
      <c r="E5" s="27"/>
      <c r="F5" s="57"/>
      <c r="H5" s="6"/>
    </row>
    <row r="6" spans="1:8">
      <c r="A6" s="1" t="s">
        <v>304</v>
      </c>
      <c r="B6" s="21" t="s">
        <v>6</v>
      </c>
      <c r="C6" s="17" t="s">
        <v>306</v>
      </c>
      <c r="D6" s="1" t="s">
        <v>305</v>
      </c>
      <c r="E6" s="27"/>
      <c r="F6" s="57"/>
      <c r="H6" s="6"/>
    </row>
    <row r="7" spans="1:8">
      <c r="A7" s="1" t="s">
        <v>314</v>
      </c>
      <c r="B7" s="21" t="s">
        <v>296</v>
      </c>
      <c r="C7" s="17" t="s">
        <v>387</v>
      </c>
      <c r="D7" s="1" t="s">
        <v>315</v>
      </c>
      <c r="E7" s="27">
        <v>972</v>
      </c>
      <c r="F7" s="57"/>
      <c r="H7" s="6"/>
    </row>
    <row r="8" spans="1:8">
      <c r="A8" s="156" t="s">
        <v>316</v>
      </c>
      <c r="B8" s="156" t="s">
        <v>6</v>
      </c>
      <c r="C8" s="156" t="s">
        <v>317</v>
      </c>
      <c r="D8" s="156" t="s">
        <v>318</v>
      </c>
      <c r="E8" s="27"/>
      <c r="F8" s="57"/>
      <c r="H8" s="6"/>
    </row>
    <row r="9" spans="1:8">
      <c r="A9" s="1" t="s">
        <v>319</v>
      </c>
      <c r="B9" s="21" t="s">
        <v>296</v>
      </c>
      <c r="C9" s="17" t="s">
        <v>321</v>
      </c>
      <c r="D9" s="1" t="s">
        <v>320</v>
      </c>
      <c r="E9" s="27">
        <v>2376</v>
      </c>
      <c r="F9" s="57"/>
      <c r="G9" s="6"/>
      <c r="H9" s="6"/>
    </row>
    <row r="10" spans="1:8">
      <c r="A10" s="1"/>
      <c r="B10" s="21"/>
      <c r="C10" s="17"/>
      <c r="D10" s="1"/>
      <c r="E10" s="27"/>
      <c r="F10" s="57"/>
      <c r="H10" s="6"/>
    </row>
    <row r="11" spans="1:8" s="6" customFormat="1">
      <c r="A11" s="8"/>
      <c r="B11" s="21"/>
      <c r="C11" s="17"/>
      <c r="D11" s="8"/>
      <c r="E11" s="27"/>
      <c r="F11" s="57"/>
    </row>
    <row r="12" spans="1:8">
      <c r="A12" s="1"/>
      <c r="B12" s="21"/>
      <c r="C12" s="17"/>
      <c r="D12" s="1"/>
      <c r="E12" s="27"/>
      <c r="F12" s="57"/>
      <c r="H12" s="6"/>
    </row>
    <row r="13" spans="1:8" s="6" customFormat="1">
      <c r="A13" s="8"/>
      <c r="B13" s="21"/>
      <c r="C13" s="8"/>
      <c r="D13" s="8"/>
      <c r="E13" s="27"/>
      <c r="F13" s="57"/>
    </row>
    <row r="14" spans="1:8" s="6" customFormat="1">
      <c r="A14" s="8"/>
      <c r="B14" s="21"/>
      <c r="C14" s="8"/>
      <c r="D14" s="8"/>
      <c r="E14" s="27"/>
      <c r="F14" s="8"/>
    </row>
    <row r="15" spans="1:8" s="6" customFormat="1" hidden="1" outlineLevel="1">
      <c r="A15" s="8"/>
      <c r="B15" s="21"/>
      <c r="C15" s="8"/>
      <c r="D15" s="8"/>
      <c r="E15" s="27"/>
      <c r="F15" s="8"/>
    </row>
    <row r="16" spans="1:8" s="6" customFormat="1" hidden="1" outlineLevel="1">
      <c r="A16" s="8"/>
      <c r="B16" s="21"/>
      <c r="C16" s="8"/>
      <c r="D16" s="8"/>
      <c r="E16" s="27"/>
      <c r="F16" s="8"/>
    </row>
    <row r="17" spans="1:8" s="6" customFormat="1" hidden="1" outlineLevel="1">
      <c r="A17" s="8"/>
      <c r="B17" s="21"/>
      <c r="C17" s="8"/>
      <c r="D17" s="8"/>
      <c r="E17" s="27"/>
      <c r="F17" s="8"/>
    </row>
    <row r="18" spans="1:8" s="20" customFormat="1" hidden="1" outlineLevel="1">
      <c r="A18" s="58"/>
      <c r="B18" s="58"/>
      <c r="C18" s="58"/>
      <c r="D18" s="58"/>
      <c r="E18" s="27"/>
      <c r="F18" s="58"/>
    </row>
    <row r="19" spans="1:8" s="20" customFormat="1" hidden="1" outlineLevel="1">
      <c r="A19" s="58"/>
      <c r="B19" s="58"/>
      <c r="C19" s="58"/>
      <c r="D19" s="58"/>
      <c r="E19" s="27"/>
      <c r="F19" s="58"/>
    </row>
    <row r="20" spans="1:8" s="20" customFormat="1" hidden="1" outlineLevel="1">
      <c r="A20" s="58"/>
      <c r="B20" s="58"/>
      <c r="C20" s="58"/>
      <c r="D20" s="58"/>
      <c r="E20" s="27"/>
      <c r="F20" s="58"/>
    </row>
    <row r="21" spans="1:8" s="20" customFormat="1" collapsed="1">
      <c r="A21" s="58"/>
      <c r="B21" s="58"/>
      <c r="C21" s="58"/>
      <c r="D21" s="58"/>
      <c r="E21" s="27"/>
      <c r="F21" s="58"/>
    </row>
    <row r="22" spans="1:8" s="20" customFormat="1">
      <c r="A22" s="58"/>
      <c r="B22" s="58"/>
      <c r="C22" s="58"/>
      <c r="D22" s="58"/>
      <c r="E22" s="27"/>
      <c r="F22" s="58"/>
    </row>
    <row r="23" spans="1:8">
      <c r="A23" s="1"/>
      <c r="B23" s="21"/>
      <c r="C23" s="1"/>
      <c r="D23" s="1"/>
      <c r="E23" s="27"/>
      <c r="F23" s="1"/>
      <c r="H23" s="6"/>
    </row>
    <row r="24" spans="1:8">
      <c r="A24" s="1"/>
      <c r="B24" s="21"/>
      <c r="C24" s="1"/>
      <c r="D24" s="1"/>
      <c r="E24" s="27"/>
      <c r="F24" s="1"/>
      <c r="H24" s="6"/>
    </row>
    <row r="25" spans="1:8">
      <c r="A25" s="1"/>
      <c r="B25" s="21"/>
      <c r="C25" s="17"/>
      <c r="D25" s="8"/>
      <c r="E25" s="27"/>
      <c r="F25" s="57"/>
      <c r="H25" s="6"/>
    </row>
    <row r="26" spans="1:8">
      <c r="D26" t="s">
        <v>5</v>
      </c>
      <c r="E26" s="28">
        <f>SUM(E4:E25)</f>
        <v>5810</v>
      </c>
    </row>
    <row r="29" spans="1:8">
      <c r="A29" t="s">
        <v>259</v>
      </c>
      <c r="B29" s="20">
        <v>1</v>
      </c>
      <c r="C29" t="s">
        <v>257</v>
      </c>
      <c r="E29">
        <f>500*B29</f>
        <v>500</v>
      </c>
      <c r="F29" t="s">
        <v>258</v>
      </c>
    </row>
    <row r="30" spans="1:8">
      <c r="A30" t="s">
        <v>247</v>
      </c>
    </row>
    <row r="31" spans="1:8">
      <c r="A31" s="165" t="s">
        <v>248</v>
      </c>
      <c r="B31" s="165"/>
      <c r="C31" s="165"/>
      <c r="D31" s="165"/>
      <c r="E31" s="52"/>
    </row>
    <row r="32" spans="1:8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D34" t="s">
        <v>249</v>
      </c>
      <c r="E34" s="101">
        <f>SUM(E31:E33)</f>
        <v>0</v>
      </c>
    </row>
  </sheetData>
  <customSheetViews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4" orientation="landscape" r:id="rId2"/>
    </customSheetView>
  </customSheetViews>
  <mergeCells count="4">
    <mergeCell ref="A1:E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4"/>
  <sheetViews>
    <sheetView view="pageBreakPreview" zoomScale="70" zoomScaleNormal="70" zoomScaleSheetLayoutView="70" workbookViewId="0">
      <selection activeCell="C10" sqref="C10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31.625" style="6" customWidth="1"/>
    <col min="7" max="16384" width="9" style="6"/>
  </cols>
  <sheetData>
    <row r="1" spans="1:6">
      <c r="A1" s="164" t="s">
        <v>277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s="151" t="s">
        <v>301</v>
      </c>
      <c r="B4" s="151" t="s">
        <v>296</v>
      </c>
      <c r="C4" s="17" t="s">
        <v>302</v>
      </c>
      <c r="D4" s="11" t="s">
        <v>303</v>
      </c>
      <c r="E4" s="27">
        <v>2462</v>
      </c>
      <c r="F4" s="57"/>
    </row>
    <row r="5" spans="1:6">
      <c r="A5" s="154" t="s">
        <v>307</v>
      </c>
      <c r="B5" s="154" t="s">
        <v>6</v>
      </c>
      <c r="C5" s="17" t="s">
        <v>308</v>
      </c>
      <c r="D5" s="154" t="s">
        <v>309</v>
      </c>
      <c r="E5" s="27"/>
      <c r="F5" s="57"/>
    </row>
    <row r="6" spans="1:6">
      <c r="A6" s="154" t="s">
        <v>304</v>
      </c>
      <c r="B6" s="154" t="s">
        <v>6</v>
      </c>
      <c r="C6" s="17" t="s">
        <v>306</v>
      </c>
      <c r="D6" s="154" t="s">
        <v>305</v>
      </c>
      <c r="E6" s="27"/>
      <c r="F6" s="57"/>
    </row>
    <row r="7" spans="1:6">
      <c r="A7" s="155" t="s">
        <v>314</v>
      </c>
      <c r="B7" s="155" t="s">
        <v>296</v>
      </c>
      <c r="C7" s="17" t="s">
        <v>387</v>
      </c>
      <c r="D7" s="155" t="s">
        <v>315</v>
      </c>
      <c r="E7" s="27">
        <v>972</v>
      </c>
      <c r="F7" s="57"/>
    </row>
    <row r="8" spans="1:6">
      <c r="A8" s="8" t="s">
        <v>316</v>
      </c>
      <c r="B8" s="21" t="s">
        <v>6</v>
      </c>
      <c r="C8" s="8" t="s">
        <v>317</v>
      </c>
      <c r="D8" s="8" t="s">
        <v>318</v>
      </c>
      <c r="E8" s="27"/>
      <c r="F8" s="57"/>
    </row>
    <row r="9" spans="1:6">
      <c r="A9" s="156" t="s">
        <v>319</v>
      </c>
      <c r="B9" s="156" t="s">
        <v>296</v>
      </c>
      <c r="C9" s="17" t="s">
        <v>321</v>
      </c>
      <c r="D9" s="156" t="s">
        <v>320</v>
      </c>
      <c r="E9" s="27">
        <v>2376</v>
      </c>
      <c r="F9" s="57"/>
    </row>
    <row r="10" spans="1:6">
      <c r="A10" s="8"/>
      <c r="B10" s="21"/>
      <c r="C10" s="8"/>
      <c r="D10" s="8"/>
      <c r="E10" s="27"/>
      <c r="F10" s="57"/>
    </row>
    <row r="11" spans="1:6">
      <c r="A11" s="8"/>
      <c r="B11" s="21"/>
      <c r="C11" s="8"/>
      <c r="D11" s="8"/>
      <c r="E11" s="27"/>
      <c r="F11" s="57"/>
    </row>
    <row r="12" spans="1:6">
      <c r="A12" s="8"/>
      <c r="B12" s="21"/>
      <c r="C12" s="8"/>
      <c r="D12" s="8"/>
      <c r="E12" s="27"/>
      <c r="F12" s="57"/>
    </row>
    <row r="13" spans="1:6">
      <c r="A13" s="8"/>
      <c r="B13" s="21"/>
      <c r="C13" s="8"/>
      <c r="D13" s="8"/>
      <c r="E13" s="27"/>
      <c r="F13" s="57"/>
    </row>
    <row r="14" spans="1:6">
      <c r="A14" s="8"/>
      <c r="B14" s="21"/>
      <c r="C14" s="8"/>
      <c r="D14" s="8"/>
      <c r="E14" s="27"/>
      <c r="F14" s="8"/>
    </row>
    <row r="15" spans="1:6" hidden="1" outlineLevel="1">
      <c r="A15" s="8"/>
      <c r="B15" s="21"/>
      <c r="C15" s="8"/>
      <c r="D15" s="8"/>
      <c r="E15" s="27"/>
      <c r="F15" s="8"/>
    </row>
    <row r="16" spans="1:6" s="20" customFormat="1" hidden="1" outlineLevel="1">
      <c r="A16" s="58"/>
      <c r="B16" s="58"/>
      <c r="C16" s="58"/>
      <c r="D16" s="58"/>
      <c r="E16" s="27"/>
      <c r="F16" s="58"/>
    </row>
    <row r="17" spans="1:6" hidden="1" outlineLevel="1">
      <c r="A17" s="8"/>
      <c r="B17" s="21"/>
      <c r="C17" s="8"/>
      <c r="D17" s="8"/>
      <c r="E17" s="27"/>
      <c r="F17" s="8"/>
    </row>
    <row r="18" spans="1:6" s="20" customFormat="1" hidden="1" outlineLevel="1">
      <c r="A18" s="58"/>
      <c r="B18" s="58"/>
      <c r="C18" s="58"/>
      <c r="D18" s="58"/>
      <c r="E18" s="27"/>
      <c r="F18" s="58"/>
    </row>
    <row r="19" spans="1:6" s="20" customFormat="1" hidden="1" outlineLevel="1">
      <c r="A19" s="58"/>
      <c r="B19" s="58"/>
      <c r="C19" s="58"/>
      <c r="D19" s="58"/>
      <c r="E19" s="27"/>
      <c r="F19" s="58"/>
    </row>
    <row r="20" spans="1:6" s="20" customFormat="1" hidden="1" outlineLevel="1">
      <c r="A20" s="58"/>
      <c r="B20" s="58"/>
      <c r="C20" s="58"/>
      <c r="D20" s="58"/>
      <c r="E20" s="27"/>
      <c r="F20" s="58"/>
    </row>
    <row r="21" spans="1:6" s="20" customFormat="1" collapsed="1">
      <c r="A21" s="58"/>
      <c r="B21" s="58"/>
      <c r="C21" s="58"/>
      <c r="D21" s="58"/>
      <c r="E21" s="27"/>
      <c r="F21" s="58"/>
    </row>
    <row r="22" spans="1:6" s="20" customFormat="1">
      <c r="A22" s="58"/>
      <c r="B22" s="58"/>
      <c r="C22" s="58"/>
      <c r="D22" s="58"/>
      <c r="E22" s="27"/>
      <c r="F22" s="58"/>
    </row>
    <row r="23" spans="1:6">
      <c r="A23" s="8"/>
      <c r="B23" s="21"/>
      <c r="C23" s="8"/>
      <c r="D23" s="8"/>
      <c r="E23" s="27"/>
      <c r="F23" s="8"/>
    </row>
    <row r="24" spans="1:6">
      <c r="A24" s="8"/>
      <c r="B24" s="21"/>
      <c r="C24" s="8"/>
      <c r="D24" s="8"/>
      <c r="E24" s="27"/>
      <c r="F24" s="8"/>
    </row>
    <row r="25" spans="1:6">
      <c r="A25" s="8"/>
      <c r="B25" s="21"/>
      <c r="C25" s="8"/>
      <c r="D25" s="8"/>
      <c r="E25" s="27"/>
      <c r="F25" s="8"/>
    </row>
    <row r="26" spans="1:6">
      <c r="D26" s="6" t="s">
        <v>5</v>
      </c>
      <c r="E26" s="28">
        <f>SUM(E4:E25)</f>
        <v>5810</v>
      </c>
    </row>
    <row r="29" spans="1:6">
      <c r="A29" s="6" t="s">
        <v>259</v>
      </c>
      <c r="B29" s="20">
        <v>1</v>
      </c>
      <c r="C29" s="6" t="s">
        <v>257</v>
      </c>
      <c r="E29" s="6">
        <f>500*B29</f>
        <v>500</v>
      </c>
      <c r="F29" s="6" t="s">
        <v>258</v>
      </c>
    </row>
    <row r="30" spans="1:6">
      <c r="A30" s="6" t="s">
        <v>247</v>
      </c>
    </row>
    <row r="31" spans="1:6">
      <c r="A31" s="165" t="s">
        <v>248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8C3311D4-BF6B-4714-8FEE-EF832EA44719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4"/>
  <sheetViews>
    <sheetView view="pageBreakPreview" zoomScale="70" zoomScaleNormal="70" zoomScaleSheetLayoutView="70" workbookViewId="0">
      <selection activeCell="E31" sqref="E31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>
      <c r="A1" s="164" t="s">
        <v>278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6" customFormat="1">
      <c r="A4" s="50"/>
      <c r="B4" s="21"/>
      <c r="C4" s="46"/>
      <c r="D4" s="46"/>
      <c r="E4" s="47"/>
      <c r="F4" s="49"/>
    </row>
    <row r="5" spans="1:8">
      <c r="A5" s="50"/>
      <c r="B5" s="122"/>
      <c r="C5" s="46"/>
      <c r="D5" s="46"/>
      <c r="E5" s="47"/>
      <c r="F5" s="49"/>
      <c r="G5" s="31"/>
      <c r="H5" s="32"/>
    </row>
    <row r="6" spans="1:8" s="6" customFormat="1">
      <c r="A6" s="50"/>
      <c r="B6" s="21"/>
      <c r="C6" s="46"/>
      <c r="D6" s="46"/>
      <c r="E6" s="47"/>
      <c r="F6" s="49"/>
    </row>
    <row r="7" spans="1:8" s="6" customFormat="1">
      <c r="A7" s="50"/>
      <c r="B7" s="21"/>
      <c r="C7" s="48"/>
      <c r="D7" s="46"/>
      <c r="E7" s="47"/>
      <c r="F7" s="49"/>
    </row>
    <row r="8" spans="1:8" s="6" customFormat="1">
      <c r="A8" s="50"/>
      <c r="B8" s="21"/>
      <c r="C8" s="48"/>
      <c r="D8" s="46"/>
      <c r="E8" s="47"/>
      <c r="F8" s="49"/>
    </row>
    <row r="9" spans="1:8">
      <c r="A9" s="50"/>
      <c r="B9" s="21"/>
      <c r="C9" s="48"/>
      <c r="D9" s="46"/>
      <c r="E9" s="47"/>
      <c r="F9" s="49"/>
    </row>
    <row r="10" spans="1:8" s="6" customFormat="1">
      <c r="A10" s="50"/>
      <c r="B10" s="122"/>
      <c r="C10" s="48"/>
      <c r="D10" s="46"/>
      <c r="E10" s="47"/>
      <c r="F10" s="49"/>
    </row>
    <row r="11" spans="1:8">
      <c r="A11" s="50"/>
      <c r="B11" s="122"/>
      <c r="C11" s="1"/>
      <c r="D11" s="1"/>
      <c r="E11" s="12"/>
      <c r="F11" s="10"/>
    </row>
    <row r="12" spans="1:8" s="20" customFormat="1">
      <c r="A12" s="58"/>
      <c r="B12" s="58"/>
      <c r="C12" s="58"/>
      <c r="D12" s="58"/>
      <c r="E12" s="52"/>
      <c r="F12" s="57"/>
    </row>
    <row r="13" spans="1:8" s="20" customFormat="1">
      <c r="A13" s="58"/>
      <c r="B13" s="58"/>
      <c r="C13" s="58"/>
      <c r="D13" s="58"/>
      <c r="E13" s="52"/>
      <c r="F13" s="57"/>
    </row>
    <row r="14" spans="1:8" s="20" customFormat="1">
      <c r="A14" s="58"/>
      <c r="B14" s="58"/>
      <c r="C14" s="58"/>
      <c r="D14" s="58"/>
      <c r="E14" s="52"/>
      <c r="F14" s="57"/>
    </row>
    <row r="15" spans="1:8" s="20" customFormat="1">
      <c r="A15" s="58"/>
      <c r="B15" s="58"/>
      <c r="C15" s="58"/>
      <c r="D15" s="58"/>
      <c r="E15" s="52"/>
      <c r="F15" s="57"/>
    </row>
    <row r="16" spans="1:8" s="20" customFormat="1" hidden="1" outlineLevel="1">
      <c r="A16" s="58"/>
      <c r="B16" s="58"/>
      <c r="C16" s="58"/>
      <c r="D16" s="58"/>
      <c r="E16" s="52"/>
      <c r="F16" s="57"/>
    </row>
    <row r="17" spans="1:6" hidden="1" outlineLevel="1">
      <c r="A17" s="1"/>
      <c r="B17" s="21"/>
      <c r="C17" s="1"/>
      <c r="D17" s="1"/>
      <c r="E17" s="12"/>
      <c r="F17" s="10"/>
    </row>
    <row r="18" spans="1:6" s="20" customFormat="1" hidden="1" outlineLevel="1">
      <c r="A18" s="58"/>
      <c r="B18" s="58"/>
      <c r="C18" s="58"/>
      <c r="D18" s="58"/>
      <c r="E18" s="52"/>
      <c r="F18" s="57"/>
    </row>
    <row r="19" spans="1:6" hidden="1" outlineLevel="1">
      <c r="A19" s="1"/>
      <c r="B19" s="21"/>
      <c r="C19" s="1"/>
      <c r="D19" s="1"/>
      <c r="E19" s="12"/>
      <c r="F19" s="1"/>
    </row>
    <row r="20" spans="1:6" s="20" customFormat="1" hidden="1" outlineLevel="1">
      <c r="A20" s="58"/>
      <c r="B20" s="58"/>
      <c r="C20" s="58"/>
      <c r="D20" s="58"/>
      <c r="E20" s="52"/>
      <c r="F20" s="57"/>
    </row>
    <row r="21" spans="1:6" s="20" customFormat="1" hidden="1" outlineLevel="1">
      <c r="A21" s="58"/>
      <c r="B21" s="58"/>
      <c r="C21" s="58"/>
      <c r="D21" s="58"/>
      <c r="E21" s="52"/>
      <c r="F21" s="57"/>
    </row>
    <row r="22" spans="1:6" s="20" customFormat="1" collapsed="1">
      <c r="A22" s="58"/>
      <c r="B22" s="58"/>
      <c r="C22" s="58"/>
      <c r="D22" s="58"/>
      <c r="E22" s="52"/>
      <c r="F22" s="57"/>
    </row>
    <row r="23" spans="1:6" s="20" customFormat="1">
      <c r="A23" s="58"/>
      <c r="B23" s="58"/>
      <c r="C23" s="58"/>
      <c r="D23" s="58"/>
      <c r="E23" s="52"/>
      <c r="F23" s="57"/>
    </row>
    <row r="24" spans="1:6">
      <c r="A24" s="1"/>
      <c r="B24" s="21"/>
      <c r="C24" s="1"/>
      <c r="D24" s="1"/>
      <c r="E24" s="12"/>
      <c r="F24" s="10"/>
    </row>
    <row r="25" spans="1:6">
      <c r="A25" s="50"/>
      <c r="B25" s="122"/>
      <c r="C25" s="46"/>
      <c r="D25" s="46"/>
      <c r="E25" s="47"/>
      <c r="F25" s="49"/>
    </row>
    <row r="26" spans="1:6">
      <c r="D26" t="s">
        <v>5</v>
      </c>
      <c r="E26" s="14">
        <f>SUM(E6:E25)</f>
        <v>0</v>
      </c>
    </row>
    <row r="29" spans="1:6">
      <c r="A29" t="s">
        <v>259</v>
      </c>
      <c r="B29" s="20">
        <v>1</v>
      </c>
      <c r="C29" t="s">
        <v>257</v>
      </c>
      <c r="E29">
        <f>500*B29</f>
        <v>500</v>
      </c>
      <c r="F29" t="s">
        <v>258</v>
      </c>
    </row>
    <row r="30" spans="1:6">
      <c r="A30" t="s">
        <v>247</v>
      </c>
    </row>
    <row r="31" spans="1:6">
      <c r="A31" s="165" t="s">
        <v>248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8C3311D4-BF6B-4714-8FEE-EF832EA44719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4"/>
  <sheetViews>
    <sheetView view="pageBreakPreview" zoomScale="70" zoomScaleNormal="85" zoomScaleSheetLayoutView="70" workbookViewId="0">
      <selection activeCell="E31" sqref="E31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40.125" style="6" customWidth="1"/>
    <col min="7" max="16384" width="9" style="6"/>
  </cols>
  <sheetData>
    <row r="1" spans="1:7">
      <c r="A1" s="164" t="s">
        <v>279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54"/>
      <c r="B4" s="21"/>
      <c r="C4" s="51"/>
      <c r="D4" s="51"/>
      <c r="E4" s="52"/>
      <c r="F4" s="53"/>
      <c r="G4" s="3"/>
    </row>
    <row r="5" spans="1:7">
      <c r="A5" s="54"/>
      <c r="B5" s="21"/>
      <c r="C5" s="51"/>
      <c r="D5" s="51"/>
      <c r="E5" s="52"/>
      <c r="F5" s="53"/>
    </row>
    <row r="6" spans="1:7">
      <c r="A6" s="54"/>
      <c r="B6" s="21"/>
      <c r="C6" s="51"/>
      <c r="D6" s="51"/>
      <c r="E6" s="52"/>
      <c r="F6" s="53"/>
    </row>
    <row r="7" spans="1:7">
      <c r="A7" s="54"/>
      <c r="B7" s="21"/>
      <c r="C7" s="53"/>
      <c r="D7" s="51"/>
      <c r="E7" s="52"/>
      <c r="F7" s="53"/>
    </row>
    <row r="8" spans="1:7">
      <c r="A8" s="54"/>
      <c r="B8" s="21"/>
      <c r="C8" s="53"/>
      <c r="D8" s="51"/>
      <c r="E8" s="52"/>
      <c r="F8" s="53"/>
    </row>
    <row r="9" spans="1:7">
      <c r="A9" s="54"/>
      <c r="B9" s="21"/>
      <c r="C9" s="57"/>
      <c r="D9" s="58"/>
      <c r="E9" s="52"/>
      <c r="F9" s="53"/>
    </row>
    <row r="10" spans="1:7">
      <c r="A10" s="54"/>
      <c r="B10" s="21"/>
      <c r="C10" s="53"/>
      <c r="D10" s="51"/>
      <c r="E10" s="52"/>
      <c r="F10" s="53"/>
    </row>
    <row r="11" spans="1:7">
      <c r="A11" s="54"/>
      <c r="B11" s="21"/>
      <c r="C11" s="51"/>
      <c r="D11" s="51"/>
      <c r="E11" s="52"/>
      <c r="F11" s="53"/>
    </row>
    <row r="12" spans="1:7">
      <c r="A12" s="54"/>
      <c r="B12" s="21"/>
      <c r="C12" s="53"/>
      <c r="D12" s="51"/>
      <c r="E12" s="52"/>
      <c r="F12" s="53"/>
    </row>
    <row r="13" spans="1:7">
      <c r="A13" s="8"/>
      <c r="B13" s="21"/>
      <c r="C13" s="8"/>
      <c r="D13" s="8"/>
      <c r="E13" s="12"/>
      <c r="F13" s="10"/>
    </row>
    <row r="14" spans="1:7">
      <c r="A14" s="8"/>
      <c r="B14" s="21"/>
      <c r="C14" s="8"/>
      <c r="D14" s="8"/>
      <c r="E14" s="12"/>
      <c r="F14" s="10"/>
    </row>
    <row r="15" spans="1:7" hidden="1" outlineLevel="1">
      <c r="A15" s="8"/>
      <c r="B15" s="21"/>
      <c r="C15" s="8"/>
      <c r="D15" s="8"/>
      <c r="E15" s="12"/>
      <c r="F15" s="10"/>
    </row>
    <row r="16" spans="1:7" hidden="1" outlineLevel="1">
      <c r="A16" s="8"/>
      <c r="B16" s="21"/>
      <c r="C16" s="8"/>
      <c r="D16" s="8"/>
      <c r="E16" s="12"/>
      <c r="F16" s="10"/>
    </row>
    <row r="17" spans="1:6" hidden="1" outlineLevel="1">
      <c r="A17" s="8"/>
      <c r="B17" s="21"/>
      <c r="C17" s="8"/>
      <c r="D17" s="8"/>
      <c r="E17" s="12"/>
      <c r="F17" s="10"/>
    </row>
    <row r="18" spans="1:6" s="20" customFormat="1" hidden="1" outlineLevel="1">
      <c r="A18" s="58"/>
      <c r="B18" s="58"/>
      <c r="C18" s="58"/>
      <c r="D18" s="58"/>
      <c r="E18" s="52"/>
      <c r="F18" s="57"/>
    </row>
    <row r="19" spans="1:6" s="20" customFormat="1" hidden="1" outlineLevel="1">
      <c r="A19" s="58"/>
      <c r="B19" s="58"/>
      <c r="C19" s="58"/>
      <c r="D19" s="58"/>
      <c r="E19" s="52"/>
      <c r="F19" s="57"/>
    </row>
    <row r="20" spans="1:6" s="20" customFormat="1" hidden="1" outlineLevel="1">
      <c r="A20" s="58"/>
      <c r="B20" s="58"/>
      <c r="C20" s="58"/>
      <c r="D20" s="58"/>
      <c r="E20" s="52"/>
      <c r="F20" s="57"/>
    </row>
    <row r="21" spans="1:6" s="20" customFormat="1" collapsed="1">
      <c r="A21" s="58"/>
      <c r="B21" s="58"/>
      <c r="C21" s="58"/>
      <c r="D21" s="58"/>
      <c r="E21" s="52"/>
      <c r="F21" s="57"/>
    </row>
    <row r="22" spans="1:6" s="20" customFormat="1">
      <c r="A22" s="58"/>
      <c r="B22" s="58"/>
      <c r="C22" s="58"/>
      <c r="D22" s="58"/>
      <c r="E22" s="52"/>
      <c r="F22" s="57"/>
    </row>
    <row r="23" spans="1:6">
      <c r="A23" s="8"/>
      <c r="B23" s="21"/>
      <c r="C23" s="8"/>
      <c r="D23" s="8"/>
      <c r="E23" s="12"/>
      <c r="F23" s="10"/>
    </row>
    <row r="24" spans="1:6">
      <c r="A24" s="54"/>
      <c r="B24" s="21"/>
      <c r="C24" s="51"/>
      <c r="D24" s="51"/>
      <c r="E24" s="52"/>
      <c r="F24" s="53"/>
    </row>
    <row r="25" spans="1:6">
      <c r="A25" s="54"/>
      <c r="B25" s="21"/>
      <c r="C25" s="51"/>
      <c r="D25" s="51"/>
      <c r="E25" s="52"/>
      <c r="F25" s="53"/>
    </row>
    <row r="26" spans="1:6">
      <c r="E26" s="14">
        <f>SUM(E4:E25)</f>
        <v>0</v>
      </c>
    </row>
    <row r="29" spans="1:6">
      <c r="A29" s="6" t="s">
        <v>259</v>
      </c>
      <c r="B29" s="20">
        <v>2</v>
      </c>
      <c r="C29" s="6" t="s">
        <v>257</v>
      </c>
      <c r="E29" s="6">
        <f>500*B29</f>
        <v>1000</v>
      </c>
      <c r="F29" s="6" t="s">
        <v>258</v>
      </c>
    </row>
    <row r="30" spans="1:6">
      <c r="A30" s="6" t="s">
        <v>247</v>
      </c>
    </row>
    <row r="31" spans="1:6">
      <c r="A31" s="165" t="s">
        <v>248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8C3311D4-BF6B-4714-8FEE-EF832EA44719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4"/>
  <sheetViews>
    <sheetView view="pageBreakPreview" topLeftCell="A4" zoomScale="70" zoomScaleNormal="100" zoomScaleSheetLayoutView="70" zoomScalePageLayoutView="55" workbookViewId="0">
      <selection activeCell="A4" sqref="A4:F25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36.625" customWidth="1"/>
  </cols>
  <sheetData>
    <row r="1" spans="1:7">
      <c r="A1" s="164" t="s">
        <v>280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6" customFormat="1">
      <c r="A4" s="58"/>
      <c r="B4" s="21"/>
      <c r="C4" s="55"/>
      <c r="D4" s="55"/>
      <c r="E4" s="56"/>
      <c r="F4" s="57"/>
      <c r="G4" s="3"/>
    </row>
    <row r="5" spans="1:7" s="6" customFormat="1">
      <c r="A5" s="58"/>
      <c r="B5" s="21"/>
      <c r="C5" s="55"/>
      <c r="D5" s="55"/>
      <c r="E5" s="56"/>
      <c r="F5" s="57"/>
    </row>
    <row r="6" spans="1:7" s="6" customFormat="1">
      <c r="A6" s="58"/>
      <c r="B6" s="21"/>
      <c r="C6" s="55"/>
      <c r="D6" s="55"/>
      <c r="E6" s="56"/>
      <c r="F6" s="57"/>
    </row>
    <row r="7" spans="1:7" s="6" customFormat="1">
      <c r="A7" s="58"/>
      <c r="B7" s="21"/>
      <c r="C7" s="55"/>
      <c r="D7" s="55"/>
      <c r="E7" s="56"/>
      <c r="F7" s="55"/>
    </row>
    <row r="8" spans="1:7">
      <c r="A8" s="58"/>
      <c r="B8" s="21"/>
      <c r="C8" s="55"/>
      <c r="D8" s="55"/>
      <c r="E8" s="56"/>
      <c r="F8" s="57"/>
    </row>
    <row r="9" spans="1:7" s="20" customFormat="1">
      <c r="A9" s="58"/>
      <c r="B9" s="58"/>
      <c r="C9" s="58"/>
      <c r="D9" s="58"/>
      <c r="E9" s="56"/>
      <c r="F9" s="58"/>
    </row>
    <row r="10" spans="1:7" s="20" customFormat="1">
      <c r="A10" s="58"/>
      <c r="B10" s="58"/>
      <c r="C10" s="58"/>
      <c r="D10" s="58"/>
      <c r="E10" s="56"/>
      <c r="F10" s="58"/>
    </row>
    <row r="11" spans="1:7" s="20" customFormat="1">
      <c r="A11" s="58"/>
      <c r="B11" s="58"/>
      <c r="C11" s="58"/>
      <c r="D11" s="58"/>
      <c r="E11" s="56"/>
      <c r="F11" s="58"/>
    </row>
    <row r="12" spans="1:7" s="20" customFormat="1">
      <c r="A12" s="58"/>
      <c r="B12" s="58"/>
      <c r="C12" s="58"/>
      <c r="D12" s="58"/>
      <c r="E12" s="56"/>
      <c r="F12" s="58"/>
    </row>
    <row r="13" spans="1:7" s="20" customFormat="1">
      <c r="A13" s="58"/>
      <c r="B13" s="58"/>
      <c r="C13" s="58"/>
      <c r="D13" s="58"/>
      <c r="E13" s="56"/>
      <c r="F13" s="58"/>
    </row>
    <row r="14" spans="1:7" s="20" customFormat="1">
      <c r="A14" s="58"/>
      <c r="B14" s="58"/>
      <c r="C14" s="58"/>
      <c r="D14" s="58"/>
      <c r="E14" s="56"/>
      <c r="F14" s="58"/>
    </row>
    <row r="15" spans="1:7" s="20" customFormat="1" hidden="1" outlineLevel="1">
      <c r="A15" s="58"/>
      <c r="B15" s="58"/>
      <c r="C15" s="58"/>
      <c r="D15" s="58"/>
      <c r="E15" s="56"/>
      <c r="F15" s="58"/>
    </row>
    <row r="16" spans="1:7" hidden="1" outlineLevel="1">
      <c r="A16" s="1"/>
      <c r="B16" s="21"/>
      <c r="C16" s="1"/>
      <c r="D16" s="1"/>
      <c r="E16" s="4"/>
      <c r="F16" s="10"/>
      <c r="G16" s="3"/>
    </row>
    <row r="17" spans="1:6" hidden="1" outlineLevel="1">
      <c r="A17" s="1"/>
      <c r="B17" s="21"/>
      <c r="C17" s="1"/>
      <c r="D17" s="1"/>
      <c r="E17" s="4"/>
      <c r="F17" s="10"/>
    </row>
    <row r="18" spans="1:6" s="20" customFormat="1" hidden="1" outlineLevel="1">
      <c r="A18" s="58"/>
      <c r="B18" s="58"/>
      <c r="C18" s="58"/>
      <c r="D18" s="58"/>
      <c r="E18" s="56"/>
      <c r="F18" s="57"/>
    </row>
    <row r="19" spans="1:6" s="20" customFormat="1" hidden="1" outlineLevel="1">
      <c r="A19" s="58"/>
      <c r="B19" s="58"/>
      <c r="C19" s="58"/>
      <c r="D19" s="58"/>
      <c r="E19" s="56"/>
      <c r="F19" s="57"/>
    </row>
    <row r="20" spans="1:6" s="20" customFormat="1" hidden="1" outlineLevel="1">
      <c r="A20" s="58"/>
      <c r="B20" s="58"/>
      <c r="C20" s="58"/>
      <c r="D20" s="58"/>
      <c r="E20" s="56"/>
      <c r="F20" s="57"/>
    </row>
    <row r="21" spans="1:6" collapsed="1">
      <c r="A21" s="1"/>
      <c r="B21" s="21"/>
      <c r="C21" s="8"/>
      <c r="D21" s="1"/>
      <c r="E21" s="4"/>
      <c r="F21" s="10"/>
    </row>
    <row r="22" spans="1:6" s="20" customFormat="1">
      <c r="A22" s="58"/>
      <c r="B22" s="58"/>
      <c r="C22" s="58"/>
      <c r="D22" s="58"/>
      <c r="E22" s="56"/>
      <c r="F22" s="57"/>
    </row>
    <row r="23" spans="1:6" s="20" customFormat="1">
      <c r="A23" s="58"/>
      <c r="B23" s="58"/>
      <c r="C23" s="58"/>
      <c r="D23" s="58"/>
      <c r="E23" s="56"/>
      <c r="F23" s="57"/>
    </row>
    <row r="24" spans="1:6">
      <c r="A24" s="1"/>
      <c r="B24" s="21"/>
      <c r="C24" s="1"/>
      <c r="D24" s="1"/>
      <c r="E24" s="4"/>
      <c r="F24" s="1"/>
    </row>
    <row r="25" spans="1:6" s="6" customFormat="1">
      <c r="A25" s="58"/>
      <c r="B25" s="21"/>
      <c r="C25" s="55"/>
      <c r="D25" s="55"/>
      <c r="E25" s="56"/>
      <c r="F25" s="57"/>
    </row>
    <row r="26" spans="1:6">
      <c r="D26" t="s">
        <v>5</v>
      </c>
      <c r="E26" s="5">
        <f>SUM(E4:E25)</f>
        <v>0</v>
      </c>
    </row>
    <row r="29" spans="1:6">
      <c r="A29" t="s">
        <v>259</v>
      </c>
      <c r="B29" s="20">
        <v>1</v>
      </c>
      <c r="C29" t="s">
        <v>257</v>
      </c>
      <c r="E29">
        <f>500*B29</f>
        <v>500</v>
      </c>
      <c r="F29" t="s">
        <v>258</v>
      </c>
    </row>
    <row r="30" spans="1:6">
      <c r="A30" t="s">
        <v>247</v>
      </c>
    </row>
    <row r="31" spans="1:6">
      <c r="A31" s="165" t="s">
        <v>248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8C3311D4-BF6B-4714-8FEE-EF832EA44719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view="pageBreakPreview" zoomScale="85" zoomScaleNormal="55" zoomScaleSheetLayoutView="85" workbookViewId="0">
      <selection activeCell="A2" sqref="A2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7">
      <c r="A1" s="164" t="s">
        <v>281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8"/>
      <c r="B4" s="21"/>
      <c r="C4" s="8"/>
      <c r="D4" s="8"/>
      <c r="E4" s="4" t="str">
        <f>IF(ISERROR(VLOOKUP(C4,教科書一覧,3,FALSE)),"",VLOOKUP(C4,教科書一覧,3,FALSE))</f>
        <v/>
      </c>
      <c r="F4" s="10"/>
      <c r="G4" s="3"/>
    </row>
    <row r="5" spans="1:7">
      <c r="A5" s="8"/>
      <c r="B5" s="21"/>
      <c r="C5" s="8"/>
      <c r="D5" s="8"/>
      <c r="E5" s="4"/>
      <c r="F5" s="10"/>
    </row>
    <row r="6" spans="1:7" s="20" customFormat="1">
      <c r="A6" s="58"/>
      <c r="B6" s="58"/>
      <c r="C6" s="58"/>
      <c r="D6" s="58"/>
      <c r="E6" s="56"/>
      <c r="F6" s="57"/>
    </row>
    <row r="7" spans="1:7" s="20" customFormat="1">
      <c r="A7" s="58"/>
      <c r="B7" s="58"/>
      <c r="C7" s="58"/>
      <c r="D7" s="58"/>
      <c r="E7" s="56"/>
      <c r="F7" s="57"/>
    </row>
    <row r="8" spans="1:7" s="20" customFormat="1">
      <c r="A8" s="58"/>
      <c r="B8" s="58"/>
      <c r="C8" s="58"/>
      <c r="D8" s="58"/>
      <c r="E8" s="56"/>
      <c r="F8" s="57"/>
    </row>
    <row r="9" spans="1:7" s="20" customFormat="1">
      <c r="A9" s="58"/>
      <c r="B9" s="58"/>
      <c r="C9" s="58"/>
      <c r="D9" s="58"/>
      <c r="E9" s="56"/>
      <c r="F9" s="57"/>
    </row>
    <row r="10" spans="1:7">
      <c r="A10" s="8"/>
      <c r="B10" s="21"/>
      <c r="C10" s="8"/>
      <c r="D10" s="8"/>
      <c r="E10" s="4"/>
      <c r="F10" s="8"/>
    </row>
    <row r="11" spans="1:7">
      <c r="A11" s="8"/>
      <c r="B11" s="21"/>
      <c r="C11" s="8"/>
      <c r="D11" s="8"/>
      <c r="E11" s="4"/>
      <c r="F11" s="10"/>
    </row>
    <row r="12" spans="1:7">
      <c r="A12" s="8"/>
      <c r="B12" s="21"/>
      <c r="C12" s="8"/>
      <c r="D12" s="8"/>
      <c r="E12" s="4"/>
      <c r="F12" s="8"/>
    </row>
    <row r="13" spans="1:7">
      <c r="A13" s="8"/>
      <c r="B13" s="21"/>
      <c r="C13" s="8"/>
      <c r="D13" s="8"/>
      <c r="E13" s="4"/>
      <c r="F13" s="8"/>
    </row>
    <row r="14" spans="1:7">
      <c r="A14" s="8"/>
      <c r="B14" s="21"/>
      <c r="C14" s="8"/>
      <c r="D14" s="8"/>
      <c r="E14" s="4"/>
      <c r="F14" s="8"/>
    </row>
    <row r="15" spans="1:7" s="20" customFormat="1" hidden="1" outlineLevel="1">
      <c r="A15" s="58"/>
      <c r="B15" s="58"/>
      <c r="C15" s="58"/>
      <c r="D15" s="58"/>
      <c r="E15" s="56"/>
      <c r="F15" s="58"/>
    </row>
    <row r="16" spans="1:7" s="20" customFormat="1" hidden="1" outlineLevel="1">
      <c r="A16" s="58"/>
      <c r="B16" s="58"/>
      <c r="C16" s="58"/>
      <c r="D16" s="58"/>
      <c r="E16" s="56"/>
      <c r="F16" s="58"/>
    </row>
    <row r="17" spans="1:7" hidden="1" outlineLevel="1">
      <c r="A17" s="8"/>
      <c r="B17" s="21"/>
      <c r="C17" s="8"/>
      <c r="D17" s="8"/>
      <c r="E17" s="4"/>
      <c r="F17" s="10"/>
      <c r="G17" s="3"/>
    </row>
    <row r="18" spans="1:7" hidden="1" outlineLevel="1">
      <c r="A18" s="8"/>
      <c r="B18" s="21"/>
      <c r="C18" s="8"/>
      <c r="D18" s="8"/>
      <c r="E18" s="4"/>
      <c r="F18" s="10"/>
    </row>
    <row r="19" spans="1:7" s="20" customFormat="1" hidden="1" outlineLevel="1">
      <c r="A19" s="58"/>
      <c r="B19" s="58"/>
      <c r="C19" s="58"/>
      <c r="D19" s="58"/>
      <c r="E19" s="56"/>
      <c r="F19" s="57"/>
    </row>
    <row r="20" spans="1:7" s="20" customFormat="1" hidden="1" outlineLevel="1">
      <c r="A20" s="58"/>
      <c r="B20" s="58"/>
      <c r="C20" s="58"/>
      <c r="D20" s="58"/>
      <c r="E20" s="56"/>
      <c r="F20" s="57"/>
    </row>
    <row r="21" spans="1:7" s="20" customFormat="1" collapsed="1">
      <c r="A21" s="58"/>
      <c r="B21" s="58"/>
      <c r="C21" s="58"/>
      <c r="D21" s="58"/>
      <c r="E21" s="56"/>
      <c r="F21" s="57"/>
    </row>
    <row r="22" spans="1:7" s="20" customFormat="1">
      <c r="A22" s="58"/>
      <c r="B22" s="58"/>
      <c r="C22" s="58"/>
      <c r="D22" s="58"/>
      <c r="E22" s="56"/>
      <c r="F22" s="57"/>
    </row>
    <row r="23" spans="1:7" s="20" customFormat="1">
      <c r="A23" s="58"/>
      <c r="B23" s="58"/>
      <c r="C23" s="58"/>
      <c r="D23" s="58"/>
      <c r="E23" s="56"/>
      <c r="F23" s="57"/>
    </row>
    <row r="24" spans="1:7">
      <c r="A24" s="8"/>
      <c r="B24" s="21"/>
      <c r="C24" s="8"/>
      <c r="D24" s="8"/>
      <c r="E24" s="4"/>
      <c r="F24" s="8"/>
    </row>
    <row r="25" spans="1:7">
      <c r="A25" s="8"/>
      <c r="B25" s="21"/>
      <c r="C25" s="8"/>
      <c r="D25" s="8"/>
      <c r="E25" s="4"/>
      <c r="F25" s="10"/>
    </row>
    <row r="26" spans="1:7">
      <c r="D26" s="6" t="s">
        <v>5</v>
      </c>
      <c r="E26" s="5">
        <f>SUM(E4:E25)</f>
        <v>0</v>
      </c>
    </row>
    <row r="29" spans="1:7">
      <c r="A29" s="6" t="s">
        <v>259</v>
      </c>
      <c r="C29" s="6" t="s">
        <v>257</v>
      </c>
      <c r="E29" s="6">
        <f>500*B29</f>
        <v>0</v>
      </c>
      <c r="F29" s="6" t="s">
        <v>258</v>
      </c>
    </row>
    <row r="30" spans="1:7">
      <c r="A30" s="6" t="s">
        <v>247</v>
      </c>
    </row>
    <row r="31" spans="1:7">
      <c r="A31" s="165" t="s">
        <v>248</v>
      </c>
      <c r="B31" s="165"/>
      <c r="C31" s="165"/>
      <c r="D31" s="165"/>
      <c r="E31" s="52">
        <v>5700</v>
      </c>
    </row>
    <row r="32" spans="1:7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5700</v>
      </c>
    </row>
  </sheetData>
  <customSheetViews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1"/>
    </customSheetView>
    <customSheetView guid="{8C3311D4-BF6B-4714-8FEE-EF832EA44719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4"/>
  <sheetViews>
    <sheetView view="pageBreakPreview" zoomScale="85" zoomScaleNormal="55" zoomScaleSheetLayoutView="85" workbookViewId="0">
      <selection activeCell="E31" sqref="E31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17.625" customWidth="1"/>
  </cols>
  <sheetData>
    <row r="1" spans="1:6">
      <c r="A1" s="164" t="s">
        <v>282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 s="20" customFormat="1">
      <c r="A4" s="58"/>
      <c r="B4" s="58"/>
      <c r="C4" s="58"/>
      <c r="D4" s="58"/>
      <c r="E4" s="58"/>
      <c r="F4" s="58"/>
    </row>
    <row r="5" spans="1:6" s="20" customFormat="1">
      <c r="A5" s="58"/>
      <c r="B5" s="58"/>
      <c r="C5" s="58"/>
      <c r="D5" s="128"/>
      <c r="E5" s="58"/>
      <c r="F5" s="58"/>
    </row>
    <row r="6" spans="1:6" s="20" customFormat="1">
      <c r="A6" s="58"/>
      <c r="B6" s="58"/>
      <c r="C6" s="58"/>
      <c r="D6" s="58"/>
      <c r="E6" s="58"/>
      <c r="F6" s="58"/>
    </row>
    <row r="7" spans="1:6" s="20" customFormat="1">
      <c r="A7" s="58"/>
      <c r="B7" s="58"/>
      <c r="C7" s="58"/>
      <c r="D7" s="58"/>
      <c r="E7" s="58"/>
      <c r="F7" s="58"/>
    </row>
    <row r="8" spans="1:6" s="20" customFormat="1">
      <c r="A8" s="58"/>
      <c r="B8" s="58"/>
      <c r="C8" s="58"/>
      <c r="D8" s="58"/>
      <c r="E8" s="58"/>
      <c r="F8" s="58"/>
    </row>
    <row r="9" spans="1:6" s="20" customFormat="1">
      <c r="A9" s="58"/>
      <c r="B9" s="58"/>
      <c r="C9" s="58"/>
      <c r="D9" s="58"/>
      <c r="E9" s="58"/>
      <c r="F9" s="58"/>
    </row>
    <row r="10" spans="1:6" s="20" customFormat="1">
      <c r="A10" s="58"/>
      <c r="B10" s="58"/>
      <c r="C10" s="58"/>
      <c r="D10" s="58"/>
      <c r="E10" s="58"/>
      <c r="F10" s="58"/>
    </row>
    <row r="11" spans="1:6" s="20" customFormat="1">
      <c r="A11" s="58"/>
      <c r="B11" s="58"/>
      <c r="C11" s="58"/>
      <c r="D11" s="58"/>
      <c r="E11" s="58"/>
      <c r="F11" s="58"/>
    </row>
    <row r="12" spans="1:6" s="20" customFormat="1">
      <c r="A12" s="58"/>
      <c r="B12" s="58"/>
      <c r="C12" s="58"/>
      <c r="D12" s="58"/>
      <c r="E12" s="58"/>
      <c r="F12" s="58"/>
    </row>
    <row r="13" spans="1:6" s="20" customFormat="1">
      <c r="A13" s="58"/>
      <c r="B13" s="58"/>
      <c r="C13" s="58"/>
      <c r="D13" s="58"/>
      <c r="E13" s="58"/>
      <c r="F13" s="58"/>
    </row>
    <row r="14" spans="1:6" s="20" customFormat="1">
      <c r="A14" s="58"/>
      <c r="B14" s="58"/>
      <c r="C14" s="58"/>
      <c r="D14" s="58"/>
      <c r="E14" s="58"/>
      <c r="F14" s="58"/>
    </row>
    <row r="15" spans="1:6" s="20" customFormat="1" hidden="1" outlineLevel="1">
      <c r="A15" s="58"/>
      <c r="B15" s="58"/>
      <c r="C15" s="58"/>
      <c r="D15" s="58"/>
      <c r="E15" s="58"/>
      <c r="F15" s="58"/>
    </row>
    <row r="16" spans="1:6" s="20" customFormat="1" hidden="1" outlineLevel="1">
      <c r="A16" s="58"/>
      <c r="B16" s="58"/>
      <c r="C16" s="58"/>
      <c r="D16" s="58"/>
      <c r="E16" s="58"/>
      <c r="F16" s="58"/>
    </row>
    <row r="17" spans="1:6" hidden="1" outlineLevel="1">
      <c r="A17" s="1"/>
      <c r="B17" s="58"/>
      <c r="C17" s="1"/>
      <c r="D17" s="1"/>
      <c r="E17" s="1"/>
      <c r="F17" s="1"/>
    </row>
    <row r="18" spans="1:6" hidden="1" outlineLevel="1">
      <c r="A18" s="1"/>
      <c r="B18" s="21"/>
      <c r="C18" s="1"/>
      <c r="D18" s="1"/>
      <c r="E18" s="1"/>
      <c r="F18" s="1"/>
    </row>
    <row r="19" spans="1:6" s="20" customFormat="1" hidden="1" outlineLevel="1">
      <c r="A19" s="58"/>
      <c r="B19" s="58"/>
      <c r="C19" s="58"/>
      <c r="D19" s="58"/>
      <c r="E19" s="58"/>
      <c r="F19" s="58"/>
    </row>
    <row r="20" spans="1:6" s="20" customFormat="1" hidden="1" outlineLevel="1">
      <c r="A20" s="58"/>
      <c r="B20" s="58"/>
      <c r="C20" s="58"/>
      <c r="D20" s="58"/>
      <c r="E20" s="58"/>
      <c r="F20" s="58"/>
    </row>
    <row r="21" spans="1:6" s="20" customFormat="1" collapsed="1">
      <c r="A21" s="58"/>
      <c r="B21" s="58"/>
      <c r="C21" s="58"/>
      <c r="D21" s="58"/>
      <c r="E21" s="58"/>
      <c r="F21" s="58"/>
    </row>
    <row r="22" spans="1:6" s="20" customFormat="1">
      <c r="A22" s="58"/>
      <c r="B22" s="58"/>
      <c r="C22" s="58"/>
      <c r="D22" s="58"/>
      <c r="E22" s="58"/>
      <c r="F22" s="58"/>
    </row>
    <row r="23" spans="1:6" s="20" customFormat="1">
      <c r="A23" s="58"/>
      <c r="B23" s="58"/>
      <c r="C23" s="58"/>
      <c r="D23" s="58"/>
      <c r="E23" s="58"/>
      <c r="F23" s="58"/>
    </row>
    <row r="24" spans="1:6">
      <c r="A24" s="1"/>
      <c r="B24" s="21"/>
      <c r="C24" s="1"/>
      <c r="D24" s="1"/>
      <c r="E24" s="1"/>
      <c r="F24" s="1"/>
    </row>
    <row r="25" spans="1:6">
      <c r="A25" s="1"/>
      <c r="B25" s="21"/>
      <c r="C25" s="1"/>
      <c r="D25" s="1"/>
      <c r="E25" s="1"/>
      <c r="F25" s="1"/>
    </row>
    <row r="26" spans="1:6">
      <c r="D26" t="s">
        <v>5</v>
      </c>
      <c r="E26">
        <f>SUM(E4:E25)</f>
        <v>0</v>
      </c>
    </row>
    <row r="27" spans="1:6">
      <c r="A27" s="30"/>
    </row>
    <row r="29" spans="1:6">
      <c r="A29" t="s">
        <v>259</v>
      </c>
      <c r="C29" t="s">
        <v>257</v>
      </c>
      <c r="E29">
        <f>500*B29</f>
        <v>0</v>
      </c>
      <c r="F29" t="s">
        <v>258</v>
      </c>
    </row>
    <row r="30" spans="1:6">
      <c r="A30" t="s">
        <v>247</v>
      </c>
    </row>
    <row r="31" spans="1:6">
      <c r="A31" s="165" t="s">
        <v>248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85" showPageBreaks="1" hiddenRows="1" view="pageBreakPreview">
      <selection activeCell="E31" sqref="E31"/>
      <pageMargins left="0.7" right="0.7" top="0.75" bottom="0.75" header="0.3" footer="0.3"/>
      <pageSetup paperSize="9" orientation="landscape" r:id="rId1"/>
    </customSheetView>
    <customSheetView guid="{8C3311D4-BF6B-4714-8FEE-EF832EA44719}" scale="85" showPageBreaks="1" hiddenRows="1" view="pageBreakPreview">
      <selection activeCell="E31" sqref="E31"/>
      <pageMargins left="0.7" right="0.7" top="0.75" bottom="0.75" header="0.3" footer="0.3"/>
      <pageSetup paperSize="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2"/>
  <sheetViews>
    <sheetView view="pageBreakPreview" zoomScale="85" zoomScaleNormal="100" zoomScaleSheetLayoutView="85" workbookViewId="0">
      <selection activeCell="C17" sqref="C17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7" width="9" style="6"/>
    <col min="8" max="8" width="9" style="20"/>
    <col min="9" max="16384" width="9" style="6"/>
  </cols>
  <sheetData>
    <row r="1" spans="1:10">
      <c r="A1" s="164" t="s">
        <v>283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10">
      <c r="A4" s="8" t="s">
        <v>331</v>
      </c>
      <c r="B4" s="21"/>
      <c r="C4" s="8" t="s">
        <v>322</v>
      </c>
      <c r="D4" s="33" t="s">
        <v>30</v>
      </c>
      <c r="E4" s="23"/>
      <c r="F4" s="8"/>
      <c r="I4" s="7"/>
    </row>
    <row r="5" spans="1:10">
      <c r="A5" s="8" t="s">
        <v>339</v>
      </c>
      <c r="B5" s="21"/>
      <c r="C5" s="8" t="s">
        <v>329</v>
      </c>
      <c r="D5" s="21"/>
      <c r="E5" s="23"/>
      <c r="F5" s="8"/>
      <c r="H5" s="13" t="s">
        <v>266</v>
      </c>
      <c r="I5" s="7"/>
      <c r="J5" s="7">
        <f>SUM(E4:E8,E17:E27)</f>
        <v>0</v>
      </c>
    </row>
    <row r="6" spans="1:10" s="20" customFormat="1">
      <c r="A6" s="21" t="s">
        <v>376</v>
      </c>
      <c r="B6" s="21"/>
      <c r="C6" s="21" t="s">
        <v>323</v>
      </c>
      <c r="D6" s="21" t="s">
        <v>344</v>
      </c>
      <c r="E6" s="23"/>
      <c r="F6" s="21"/>
      <c r="H6" s="13" t="s">
        <v>267</v>
      </c>
      <c r="J6" s="20">
        <f>SUMIF($G$9:$G$16,H6,$E$9:$E$16)</f>
        <v>0</v>
      </c>
    </row>
    <row r="7" spans="1:10" s="20" customFormat="1" ht="14.25" thickBot="1">
      <c r="A7" s="21" t="s">
        <v>333</v>
      </c>
      <c r="B7" s="21"/>
      <c r="C7" s="21" t="s">
        <v>324</v>
      </c>
      <c r="D7" s="21" t="s">
        <v>345</v>
      </c>
      <c r="E7" s="23"/>
      <c r="F7" s="21"/>
      <c r="H7" s="123" t="s">
        <v>268</v>
      </c>
      <c r="I7" s="124"/>
      <c r="J7" s="124">
        <f>SUMIF($G$9:$G$16,H7,$E$9:$E$16)</f>
        <v>0</v>
      </c>
    </row>
    <row r="8" spans="1:10" s="20" customFormat="1" ht="14.25" thickTop="1">
      <c r="A8" s="21" t="s">
        <v>334</v>
      </c>
      <c r="B8" s="21"/>
      <c r="C8" s="21" t="s">
        <v>325</v>
      </c>
      <c r="D8" s="17" t="s">
        <v>346</v>
      </c>
      <c r="E8" s="23"/>
      <c r="F8" s="21"/>
      <c r="H8" s="13" t="s">
        <v>269</v>
      </c>
      <c r="J8" s="7">
        <f>$J$5+$J$6</f>
        <v>0</v>
      </c>
    </row>
    <row r="9" spans="1:10" s="20" customFormat="1">
      <c r="A9" s="9" t="s">
        <v>377</v>
      </c>
      <c r="B9" s="9"/>
      <c r="C9" s="9" t="s">
        <v>383</v>
      </c>
      <c r="D9" s="120" t="s">
        <v>8</v>
      </c>
      <c r="E9" s="25"/>
      <c r="F9" s="9"/>
      <c r="G9" s="31"/>
      <c r="H9" s="13" t="s">
        <v>270</v>
      </c>
      <c r="J9" s="7">
        <f>$J$5+$J$7</f>
        <v>0</v>
      </c>
    </row>
    <row r="10" spans="1:10" s="20" customFormat="1">
      <c r="A10" s="9" t="s">
        <v>335</v>
      </c>
      <c r="B10" s="9"/>
      <c r="C10" s="9" t="s">
        <v>35</v>
      </c>
      <c r="D10" s="120" t="s">
        <v>347</v>
      </c>
      <c r="E10" s="25"/>
      <c r="F10" s="9"/>
      <c r="G10" s="31"/>
      <c r="H10" s="13"/>
    </row>
    <row r="11" spans="1:10">
      <c r="A11" s="134" t="s">
        <v>336</v>
      </c>
      <c r="B11" s="135"/>
      <c r="C11" s="135" t="s">
        <v>326</v>
      </c>
      <c r="D11" s="136" t="s">
        <v>347</v>
      </c>
      <c r="E11" s="137"/>
      <c r="F11" s="135"/>
      <c r="G11" s="31"/>
      <c r="H11" s="13"/>
    </row>
    <row r="12" spans="1:10">
      <c r="A12" s="9" t="s">
        <v>378</v>
      </c>
      <c r="B12" s="9"/>
      <c r="C12" s="9" t="s">
        <v>327</v>
      </c>
      <c r="D12" s="120" t="s">
        <v>348</v>
      </c>
      <c r="E12" s="25"/>
      <c r="F12" s="9"/>
      <c r="G12" s="31"/>
      <c r="H12" s="13"/>
    </row>
    <row r="13" spans="1:10" s="20" customFormat="1">
      <c r="A13" s="9" t="s">
        <v>338</v>
      </c>
      <c r="B13" s="9"/>
      <c r="C13" s="9" t="s">
        <v>328</v>
      </c>
      <c r="D13" s="120" t="s">
        <v>36</v>
      </c>
      <c r="E13" s="25"/>
      <c r="F13" s="9"/>
      <c r="G13" s="31"/>
      <c r="H13" s="13"/>
    </row>
    <row r="14" spans="1:10" s="20" customFormat="1">
      <c r="A14" s="9" t="s">
        <v>353</v>
      </c>
      <c r="B14" s="9" t="s">
        <v>6</v>
      </c>
      <c r="C14" s="9" t="s">
        <v>359</v>
      </c>
      <c r="D14" s="120"/>
      <c r="E14" s="25"/>
      <c r="F14" s="9"/>
      <c r="G14" s="31"/>
      <c r="H14" s="13"/>
    </row>
    <row r="15" spans="1:10" s="20" customFormat="1">
      <c r="A15" s="9" t="s">
        <v>381</v>
      </c>
      <c r="B15" s="9" t="s">
        <v>6</v>
      </c>
      <c r="C15" s="9" t="s">
        <v>384</v>
      </c>
      <c r="D15" s="120"/>
      <c r="E15" s="25"/>
      <c r="F15" s="9"/>
      <c r="G15" s="31"/>
      <c r="H15" s="13"/>
    </row>
    <row r="16" spans="1:10" s="20" customFormat="1">
      <c r="A16" s="9" t="s">
        <v>343</v>
      </c>
      <c r="B16" s="9"/>
      <c r="C16" s="9"/>
      <c r="D16" s="120"/>
      <c r="E16" s="25"/>
      <c r="F16" s="9"/>
      <c r="G16" s="31"/>
      <c r="H16" s="13"/>
    </row>
    <row r="17" spans="1:10">
      <c r="A17" s="9"/>
      <c r="B17" s="9"/>
      <c r="C17" s="9"/>
      <c r="D17" s="120"/>
      <c r="E17" s="25"/>
      <c r="F17" s="9"/>
    </row>
    <row r="18" spans="1:10">
      <c r="A18" s="9"/>
      <c r="B18" s="9"/>
      <c r="C18" s="120"/>
      <c r="D18" s="120"/>
      <c r="E18" s="25"/>
      <c r="F18" s="9"/>
    </row>
    <row r="19" spans="1:10" s="20" customFormat="1">
      <c r="A19" s="9"/>
      <c r="B19" s="9"/>
      <c r="C19" s="9"/>
      <c r="D19" s="120"/>
      <c r="E19" s="25"/>
      <c r="F19" s="9"/>
    </row>
    <row r="20" spans="1:10" s="20" customFormat="1">
      <c r="A20" s="9"/>
      <c r="B20" s="9"/>
      <c r="C20" s="9"/>
      <c r="D20" s="120"/>
      <c r="E20" s="25"/>
      <c r="F20" s="9"/>
    </row>
    <row r="21" spans="1:10" s="20" customFormat="1">
      <c r="A21" s="9"/>
      <c r="B21" s="9"/>
      <c r="C21" s="9"/>
      <c r="D21" s="120"/>
      <c r="E21" s="25"/>
      <c r="F21" s="9"/>
    </row>
    <row r="22" spans="1:10" s="20" customFormat="1">
      <c r="A22" s="9"/>
      <c r="B22" s="9"/>
      <c r="C22" s="9"/>
      <c r="D22" s="120"/>
      <c r="E22" s="25"/>
      <c r="F22" s="9"/>
    </row>
    <row r="23" spans="1:10" s="20" customFormat="1">
      <c r="A23" s="9"/>
      <c r="B23" s="9"/>
      <c r="C23" s="9"/>
      <c r="D23" s="120"/>
      <c r="E23" s="25"/>
      <c r="F23" s="9"/>
    </row>
    <row r="24" spans="1:10" s="20" customFormat="1">
      <c r="A24" s="9"/>
      <c r="B24" s="9"/>
      <c r="C24" s="9"/>
      <c r="D24" s="120"/>
      <c r="E24" s="25"/>
      <c r="F24" s="9"/>
    </row>
    <row r="25" spans="1:10" s="20" customFormat="1">
      <c r="A25" s="9"/>
      <c r="B25" s="9"/>
      <c r="C25" s="9"/>
      <c r="D25" s="120"/>
      <c r="E25" s="25"/>
      <c r="F25" s="9"/>
    </row>
    <row r="26" spans="1:10" s="20" customFormat="1">
      <c r="A26" s="9"/>
      <c r="B26" s="9"/>
      <c r="C26" s="9"/>
      <c r="D26" s="120"/>
      <c r="E26" s="25"/>
      <c r="F26" s="9"/>
    </row>
    <row r="27" spans="1:10">
      <c r="A27" s="9"/>
      <c r="B27" s="9"/>
      <c r="C27" s="9"/>
      <c r="D27" s="120"/>
      <c r="E27" s="25"/>
      <c r="F27" s="9"/>
    </row>
    <row r="28" spans="1:10" s="20" customFormat="1">
      <c r="A28" s="9"/>
      <c r="B28" s="9"/>
      <c r="C28" s="9"/>
      <c r="D28" s="120"/>
      <c r="E28" s="25"/>
      <c r="F28" s="9"/>
    </row>
    <row r="29" spans="1:10">
      <c r="A29" s="9"/>
      <c r="B29" s="9"/>
      <c r="C29" s="9"/>
      <c r="D29" s="120"/>
      <c r="E29" s="25"/>
      <c r="F29" s="9"/>
    </row>
    <row r="30" spans="1:10">
      <c r="A30" s="9"/>
      <c r="B30" s="9"/>
      <c r="C30" s="9"/>
      <c r="D30" s="120"/>
      <c r="E30" s="25"/>
      <c r="F30" s="9"/>
    </row>
    <row r="31" spans="1:10">
      <c r="A31" s="9"/>
      <c r="B31" s="9"/>
      <c r="C31" s="9"/>
      <c r="D31" s="33"/>
      <c r="E31" s="25"/>
      <c r="F31" s="9"/>
      <c r="I31" s="7"/>
      <c r="J31" s="7"/>
    </row>
    <row r="32" spans="1:10" s="20" customFormat="1">
      <c r="A32" s="9"/>
      <c r="B32" s="9"/>
      <c r="C32" s="9"/>
      <c r="D32" s="120"/>
      <c r="E32" s="25"/>
      <c r="F32" s="9"/>
      <c r="G32" s="31"/>
      <c r="H32" s="13"/>
    </row>
    <row r="33" spans="1:6">
      <c r="A33" s="9"/>
      <c r="B33" s="9"/>
      <c r="C33" s="9"/>
      <c r="D33" s="9"/>
      <c r="E33" s="25"/>
      <c r="F33" s="9"/>
    </row>
    <row r="34" spans="1:6">
      <c r="D34" s="6" t="s">
        <v>5</v>
      </c>
      <c r="E34" s="7">
        <f>SUM(E4:E33)</f>
        <v>0</v>
      </c>
    </row>
    <row r="35" spans="1:6">
      <c r="A35" s="30"/>
      <c r="B35" s="13" t="s">
        <v>75</v>
      </c>
      <c r="C35" s="20"/>
    </row>
    <row r="36" spans="1:6">
      <c r="B36" s="20">
        <v>2</v>
      </c>
      <c r="C36" s="13" t="s">
        <v>265</v>
      </c>
      <c r="E36" s="20">
        <f>500*B36</f>
        <v>1000</v>
      </c>
      <c r="F36" s="20" t="s">
        <v>258</v>
      </c>
    </row>
    <row r="37" spans="1:6">
      <c r="A37" s="6" t="s">
        <v>259</v>
      </c>
      <c r="B37" s="20">
        <v>3</v>
      </c>
      <c r="C37" s="6" t="s">
        <v>257</v>
      </c>
      <c r="E37" s="6">
        <f>500*B37</f>
        <v>1500</v>
      </c>
      <c r="F37" s="6" t="s">
        <v>258</v>
      </c>
    </row>
    <row r="38" spans="1:6">
      <c r="A38" s="6" t="s">
        <v>247</v>
      </c>
      <c r="E38" s="6" t="s">
        <v>255</v>
      </c>
      <c r="F38" s="6" t="s">
        <v>256</v>
      </c>
    </row>
    <row r="39" spans="1:6">
      <c r="A39" s="165"/>
      <c r="B39" s="165"/>
      <c r="C39" s="165"/>
      <c r="D39" s="165"/>
      <c r="E39" s="52"/>
      <c r="F39" s="58"/>
    </row>
    <row r="40" spans="1:6">
      <c r="A40" s="165"/>
      <c r="B40" s="165"/>
      <c r="C40" s="165"/>
      <c r="D40" s="165"/>
      <c r="E40" s="52"/>
      <c r="F40" s="58"/>
    </row>
    <row r="41" spans="1:6">
      <c r="A41" s="165"/>
      <c r="B41" s="165"/>
      <c r="C41" s="165"/>
      <c r="D41" s="165"/>
      <c r="E41" s="52"/>
      <c r="F41" s="58"/>
    </row>
    <row r="42" spans="1:6">
      <c r="E42" s="101">
        <f>SUM(E39:E41)</f>
        <v>0</v>
      </c>
      <c r="F42" s="101">
        <f>SUM(F39:F41)</f>
        <v>0</v>
      </c>
    </row>
  </sheetData>
  <customSheetViews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1"/>
    </customSheetView>
    <customSheetView guid="{8C3311D4-BF6B-4714-8FEE-EF832EA44719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2"/>
    </customSheetView>
  </customSheetViews>
  <mergeCells count="4">
    <mergeCell ref="A1:F1"/>
    <mergeCell ref="A39:D39"/>
    <mergeCell ref="A40:D40"/>
    <mergeCell ref="A41:D41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33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view="pageBreakPreview" zoomScale="85" zoomScaleNormal="85" zoomScaleSheetLayoutView="85" workbookViewId="0">
      <selection activeCell="C18" sqref="C18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4" width="11.625" style="95" customWidth="1"/>
    <col min="5" max="5" width="11.625" style="6" customWidth="1"/>
    <col min="6" max="6" width="17.625" style="6" customWidth="1"/>
    <col min="7" max="16384" width="9" style="6"/>
  </cols>
  <sheetData>
    <row r="1" spans="1:8">
      <c r="A1" s="164" t="s">
        <v>284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118" t="s">
        <v>2</v>
      </c>
      <c r="E3" s="2" t="s">
        <v>3</v>
      </c>
      <c r="F3" s="2" t="s">
        <v>40</v>
      </c>
    </row>
    <row r="4" spans="1:8">
      <c r="A4" s="8" t="s">
        <v>349</v>
      </c>
      <c r="B4" s="21"/>
      <c r="C4" s="8" t="s">
        <v>357</v>
      </c>
      <c r="D4" s="17" t="s">
        <v>186</v>
      </c>
      <c r="E4" s="12">
        <v>1382</v>
      </c>
      <c r="F4" s="10"/>
      <c r="G4" s="31"/>
      <c r="H4" s="32"/>
    </row>
    <row r="5" spans="1:8" s="20" customFormat="1">
      <c r="A5" s="21" t="s">
        <v>367</v>
      </c>
      <c r="B5" s="21"/>
      <c r="C5" s="21" t="s">
        <v>373</v>
      </c>
      <c r="D5" s="17" t="s">
        <v>186</v>
      </c>
      <c r="E5" s="23">
        <v>2030</v>
      </c>
      <c r="F5" s="21"/>
      <c r="G5" s="13"/>
    </row>
    <row r="6" spans="1:8" s="20" customFormat="1">
      <c r="A6" s="41" t="s">
        <v>365</v>
      </c>
      <c r="B6" s="42"/>
      <c r="C6" s="42" t="s">
        <v>372</v>
      </c>
      <c r="D6" s="119"/>
      <c r="E6" s="43"/>
      <c r="F6" s="44"/>
      <c r="G6" s="13"/>
    </row>
    <row r="7" spans="1:8" s="20" customFormat="1">
      <c r="A7" s="21" t="s">
        <v>364</v>
      </c>
      <c r="B7" s="21"/>
      <c r="C7" s="21" t="s">
        <v>371</v>
      </c>
      <c r="D7" s="17" t="s">
        <v>345</v>
      </c>
      <c r="E7" s="12"/>
      <c r="F7" s="22"/>
      <c r="G7" s="13"/>
    </row>
    <row r="8" spans="1:8" s="20" customFormat="1">
      <c r="A8" s="21" t="s">
        <v>368</v>
      </c>
      <c r="B8" s="21"/>
      <c r="C8" s="21" t="s">
        <v>374</v>
      </c>
      <c r="D8" s="17" t="s">
        <v>186</v>
      </c>
      <c r="E8" s="12">
        <v>2138</v>
      </c>
      <c r="F8" s="22"/>
      <c r="G8" s="13"/>
    </row>
    <row r="9" spans="1:8" s="20" customFormat="1">
      <c r="A9" s="21" t="s">
        <v>386</v>
      </c>
      <c r="B9" s="21"/>
      <c r="C9" s="21" t="s">
        <v>327</v>
      </c>
      <c r="D9" s="17" t="s">
        <v>348</v>
      </c>
      <c r="E9" s="12"/>
      <c r="F9" s="22"/>
      <c r="G9" s="13"/>
    </row>
    <row r="10" spans="1:8" s="20" customFormat="1">
      <c r="A10" s="21" t="s">
        <v>366</v>
      </c>
      <c r="B10" s="21" t="s">
        <v>6</v>
      </c>
      <c r="C10" s="21" t="s">
        <v>359</v>
      </c>
      <c r="D10" s="17"/>
      <c r="E10" s="12"/>
      <c r="F10" s="22"/>
      <c r="G10" s="13"/>
    </row>
    <row r="11" spans="1:8">
      <c r="A11" s="8" t="s">
        <v>379</v>
      </c>
      <c r="B11" s="21" t="s">
        <v>6</v>
      </c>
      <c r="C11" s="8" t="s">
        <v>384</v>
      </c>
      <c r="D11" s="17"/>
      <c r="E11" s="12"/>
      <c r="F11" s="10"/>
      <c r="G11" s="13"/>
    </row>
    <row r="12" spans="1:8">
      <c r="A12" s="8" t="s">
        <v>369</v>
      </c>
      <c r="B12" s="21" t="s">
        <v>6</v>
      </c>
      <c r="C12" s="8" t="s">
        <v>375</v>
      </c>
      <c r="D12" s="17"/>
      <c r="E12" s="12"/>
      <c r="F12" s="10"/>
      <c r="G12" s="13"/>
    </row>
    <row r="13" spans="1:8">
      <c r="A13" s="8"/>
      <c r="B13" s="21"/>
      <c r="C13" s="17"/>
      <c r="D13" s="17"/>
      <c r="E13" s="12"/>
      <c r="F13" s="10"/>
      <c r="G13" s="13"/>
    </row>
    <row r="14" spans="1:8">
      <c r="A14" s="21"/>
      <c r="B14" s="21"/>
      <c r="C14" s="21"/>
      <c r="D14" s="17"/>
      <c r="E14" s="23"/>
      <c r="F14" s="10"/>
    </row>
    <row r="15" spans="1:8" s="20" customFormat="1">
      <c r="A15" s="58"/>
      <c r="B15" s="58"/>
      <c r="C15" s="58"/>
      <c r="D15" s="17"/>
      <c r="E15" s="23"/>
      <c r="F15" s="57"/>
    </row>
    <row r="16" spans="1:8" s="20" customFormat="1">
      <c r="A16" s="58"/>
      <c r="B16" s="58"/>
      <c r="C16" s="58"/>
      <c r="D16" s="17"/>
      <c r="E16" s="23"/>
      <c r="F16" s="57"/>
    </row>
    <row r="17" spans="1:7" s="20" customFormat="1">
      <c r="A17" s="58"/>
      <c r="B17" s="58"/>
      <c r="C17" s="58"/>
      <c r="D17" s="17"/>
      <c r="E17" s="23"/>
      <c r="F17" s="57"/>
    </row>
    <row r="18" spans="1:7">
      <c r="A18" s="8"/>
      <c r="B18" s="21"/>
      <c r="C18" s="8"/>
      <c r="D18" s="17"/>
      <c r="E18" s="12"/>
      <c r="F18" s="10"/>
    </row>
    <row r="19" spans="1:7">
      <c r="A19" s="8"/>
      <c r="B19" s="21"/>
      <c r="C19" s="8"/>
      <c r="D19" s="17"/>
      <c r="E19" s="12"/>
      <c r="F19" s="10"/>
    </row>
    <row r="20" spans="1:7">
      <c r="A20" s="8"/>
      <c r="B20" s="21"/>
      <c r="C20" s="8"/>
      <c r="D20" s="17"/>
      <c r="E20" s="12"/>
      <c r="F20" s="10"/>
    </row>
    <row r="21" spans="1:7">
      <c r="A21" s="8"/>
      <c r="B21" s="21"/>
      <c r="C21" s="8"/>
      <c r="D21" s="17"/>
      <c r="E21" s="12"/>
      <c r="F21" s="10"/>
    </row>
    <row r="22" spans="1:7" s="20" customFormat="1">
      <c r="A22" s="58"/>
      <c r="B22" s="58"/>
      <c r="C22" s="58"/>
      <c r="D22" s="17"/>
      <c r="E22" s="23"/>
      <c r="F22" s="57"/>
    </row>
    <row r="23" spans="1:7" s="20" customFormat="1">
      <c r="A23" s="21"/>
      <c r="B23" s="21"/>
      <c r="C23" s="21"/>
      <c r="D23" s="17"/>
      <c r="E23" s="12"/>
      <c r="F23" s="22"/>
      <c r="G23" s="13"/>
    </row>
    <row r="24" spans="1:7">
      <c r="A24" s="8"/>
      <c r="B24" s="21"/>
      <c r="C24" s="8"/>
      <c r="D24" s="17"/>
      <c r="E24" s="12"/>
      <c r="F24" s="10"/>
      <c r="G24" s="13"/>
    </row>
    <row r="25" spans="1:7">
      <c r="A25" s="8"/>
      <c r="B25" s="21"/>
      <c r="C25" s="8"/>
      <c r="D25" s="17"/>
      <c r="E25" s="12"/>
      <c r="F25" s="10"/>
      <c r="G25" s="13"/>
    </row>
    <row r="26" spans="1:7">
      <c r="D26" s="95" t="s">
        <v>5</v>
      </c>
      <c r="E26" s="14">
        <f>SUM(E4:E25)</f>
        <v>5550</v>
      </c>
    </row>
    <row r="29" spans="1:7">
      <c r="A29" s="6" t="s">
        <v>259</v>
      </c>
      <c r="B29" s="20">
        <v>3</v>
      </c>
      <c r="C29" s="6" t="s">
        <v>257</v>
      </c>
      <c r="E29" s="6">
        <f>500*B29</f>
        <v>1500</v>
      </c>
      <c r="F29" s="6" t="s">
        <v>258</v>
      </c>
    </row>
    <row r="30" spans="1:7">
      <c r="A30" s="6" t="s">
        <v>247</v>
      </c>
    </row>
    <row r="31" spans="1:7">
      <c r="A31" s="165" t="s">
        <v>253</v>
      </c>
      <c r="B31" s="165"/>
      <c r="C31" s="165"/>
      <c r="D31" s="165"/>
      <c r="E31" s="52"/>
    </row>
    <row r="32" spans="1:7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1"/>
    </customSheetView>
    <customSheetView guid="{8C3311D4-BF6B-4714-8FEE-EF832EA44719}" scale="85" showPageBreaks="1" printArea="1" view="pageBreakPreview">
      <selection activeCell="C18" sqref="C18"/>
      <pageMargins left="0.7" right="0.7" top="0.75" bottom="0.75" header="0.3" footer="0.3"/>
      <pageSetup paperSize="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4"/>
  <sheetViews>
    <sheetView view="pageBreakPreview" zoomScale="85" zoomScaleNormal="55" zoomScaleSheetLayoutView="85" workbookViewId="0">
      <selection activeCell="H9" sqref="H9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7">
      <c r="A1" s="164" t="s">
        <v>285</v>
      </c>
      <c r="B1" s="164"/>
      <c r="C1" s="164"/>
      <c r="D1" s="164"/>
      <c r="E1" s="164"/>
      <c r="F1" s="164"/>
    </row>
    <row r="2" spans="1:7">
      <c r="A2" s="36" t="s">
        <v>71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7">
      <c r="A4" s="8"/>
      <c r="B4" s="21" t="s">
        <v>6</v>
      </c>
      <c r="C4" s="8" t="s">
        <v>33</v>
      </c>
      <c r="D4" s="11"/>
      <c r="E4" s="8" t="str">
        <f>IF(ISERROR(VLOOKUP(C4,教科書一覧,3,FALSE)),"",VLOOKUP(C4,教科書一覧,3,FALSE))</f>
        <v/>
      </c>
      <c r="F4" s="8"/>
    </row>
    <row r="5" spans="1:7">
      <c r="A5" s="8"/>
      <c r="B5" s="21"/>
      <c r="C5" s="8"/>
      <c r="D5" s="8"/>
      <c r="E5" s="8"/>
      <c r="F5" s="8"/>
    </row>
    <row r="6" spans="1:7">
      <c r="A6" s="8"/>
      <c r="B6" s="21"/>
      <c r="C6" s="8"/>
      <c r="D6" s="8"/>
      <c r="E6" s="8"/>
      <c r="F6" s="8"/>
    </row>
    <row r="7" spans="1:7">
      <c r="A7" s="8"/>
      <c r="B7" s="21"/>
      <c r="C7" s="8"/>
      <c r="D7" s="8"/>
      <c r="E7" s="8"/>
      <c r="F7" s="8"/>
      <c r="G7" s="13"/>
    </row>
    <row r="8" spans="1:7">
      <c r="A8" s="8"/>
      <c r="B8" s="21"/>
      <c r="C8" s="8"/>
      <c r="D8" s="8"/>
      <c r="E8" s="8"/>
      <c r="F8" s="8"/>
    </row>
    <row r="9" spans="1:7">
      <c r="A9" s="8"/>
      <c r="B9" s="21"/>
      <c r="C9" s="8"/>
      <c r="D9" s="8"/>
      <c r="E9" s="8"/>
      <c r="F9" s="8"/>
    </row>
    <row r="10" spans="1:7">
      <c r="A10" s="8"/>
      <c r="B10" s="21"/>
      <c r="C10" s="8"/>
      <c r="D10" s="8"/>
      <c r="E10" s="8"/>
      <c r="F10" s="8"/>
    </row>
    <row r="11" spans="1:7">
      <c r="A11" s="8"/>
      <c r="B11" s="21"/>
      <c r="C11" s="8"/>
      <c r="D11" s="8"/>
      <c r="E11" s="16"/>
      <c r="F11" s="8"/>
    </row>
    <row r="12" spans="1:7">
      <c r="A12" s="8"/>
      <c r="B12" s="21"/>
      <c r="C12" s="8"/>
      <c r="D12" s="8"/>
      <c r="E12" s="8"/>
      <c r="F12" s="8"/>
    </row>
    <row r="13" spans="1:7">
      <c r="A13" s="8"/>
      <c r="B13" s="21"/>
      <c r="C13" s="8"/>
      <c r="D13" s="8"/>
      <c r="E13" s="8"/>
      <c r="F13" s="8"/>
    </row>
    <row r="14" spans="1:7">
      <c r="A14" s="8"/>
      <c r="B14" s="21"/>
      <c r="C14" s="8"/>
      <c r="D14" s="8"/>
      <c r="E14" s="8"/>
      <c r="F14" s="8"/>
    </row>
    <row r="15" spans="1:7">
      <c r="A15" s="8"/>
      <c r="B15" s="21"/>
      <c r="C15" s="8"/>
      <c r="D15" s="8"/>
      <c r="E15" s="8"/>
      <c r="F15" s="8"/>
    </row>
    <row r="16" spans="1:7" s="20" customFormat="1">
      <c r="A16" s="58"/>
      <c r="B16" s="58"/>
      <c r="C16" s="58"/>
      <c r="D16" s="58"/>
      <c r="E16" s="58"/>
      <c r="F16" s="58"/>
    </row>
    <row r="17" spans="1:6" s="20" customFormat="1">
      <c r="A17" s="58"/>
      <c r="B17" s="58"/>
      <c r="C17" s="58"/>
      <c r="D17" s="58"/>
      <c r="E17" s="58"/>
      <c r="F17" s="58"/>
    </row>
    <row r="18" spans="1:6" s="20" customFormat="1">
      <c r="A18" s="58"/>
      <c r="B18" s="58"/>
      <c r="C18" s="58"/>
      <c r="D18" s="58"/>
      <c r="E18" s="58"/>
      <c r="F18" s="58"/>
    </row>
    <row r="19" spans="1:6" s="20" customFormat="1">
      <c r="A19" s="58" t="s">
        <v>142</v>
      </c>
      <c r="B19" s="58"/>
      <c r="C19" s="58"/>
      <c r="D19" s="58"/>
      <c r="E19" s="58"/>
      <c r="F19" s="58"/>
    </row>
    <row r="20" spans="1:6" s="20" customFormat="1">
      <c r="A20" s="58"/>
      <c r="B20" s="58"/>
      <c r="C20" s="58"/>
      <c r="D20" s="58"/>
      <c r="E20" s="58"/>
      <c r="F20" s="58"/>
    </row>
    <row r="21" spans="1:6" s="20" customFormat="1">
      <c r="A21" s="58"/>
      <c r="B21" s="58"/>
      <c r="C21" s="58"/>
      <c r="D21" s="58"/>
      <c r="E21" s="58"/>
      <c r="F21" s="58"/>
    </row>
    <row r="22" spans="1:6" s="20" customFormat="1">
      <c r="A22" s="58"/>
      <c r="B22" s="58"/>
      <c r="C22" s="58"/>
      <c r="D22" s="58"/>
      <c r="E22" s="58"/>
      <c r="F22" s="58"/>
    </row>
    <row r="23" spans="1:6" s="20" customFormat="1">
      <c r="A23" s="58"/>
      <c r="B23" s="58"/>
      <c r="C23" s="58"/>
      <c r="D23" s="58"/>
      <c r="E23" s="58"/>
      <c r="F23" s="58"/>
    </row>
    <row r="24" spans="1:6" s="20" customFormat="1">
      <c r="A24" s="58"/>
      <c r="B24" s="58"/>
      <c r="C24" s="58"/>
      <c r="D24" s="58"/>
      <c r="E24" s="58"/>
      <c r="F24" s="58"/>
    </row>
    <row r="25" spans="1:6">
      <c r="A25" s="8"/>
      <c r="B25" s="21"/>
      <c r="C25" s="8"/>
      <c r="D25" s="8"/>
      <c r="E25" s="8"/>
      <c r="F25" s="8"/>
    </row>
    <row r="26" spans="1:6">
      <c r="D26" s="6" t="s">
        <v>5</v>
      </c>
      <c r="E26" s="6">
        <f>SUM(E4:E25)</f>
        <v>0</v>
      </c>
    </row>
    <row r="29" spans="1:6">
      <c r="A29" s="6" t="s">
        <v>259</v>
      </c>
      <c r="C29" s="6" t="s">
        <v>257</v>
      </c>
      <c r="D29" s="95"/>
      <c r="E29" s="6">
        <f>500*B29</f>
        <v>0</v>
      </c>
      <c r="F29" s="6" t="s">
        <v>258</v>
      </c>
    </row>
    <row r="30" spans="1:6">
      <c r="A30" s="6" t="s">
        <v>247</v>
      </c>
    </row>
    <row r="31" spans="1:6">
      <c r="A31" s="165" t="s">
        <v>254</v>
      </c>
      <c r="B31" s="165"/>
      <c r="C31" s="165"/>
      <c r="D31" s="165"/>
      <c r="E31" s="58"/>
    </row>
    <row r="32" spans="1:6">
      <c r="A32" s="165"/>
      <c r="B32" s="165"/>
      <c r="C32" s="165"/>
      <c r="D32" s="165"/>
      <c r="E32" s="58"/>
    </row>
    <row r="33" spans="1:5">
      <c r="A33" s="165"/>
      <c r="B33" s="165"/>
      <c r="C33" s="165"/>
      <c r="D33" s="165"/>
      <c r="E33" s="58"/>
    </row>
    <row r="34" spans="1:5">
      <c r="E34" s="6">
        <f>SUM(E31:E33)</f>
        <v>0</v>
      </c>
    </row>
  </sheetData>
  <customSheetViews>
    <customSheetView guid="{A87E9810-C071-481C-8E97-844F69858952}" scale="85" showPageBreaks="1" view="pageBreakPreview" topLeftCell="A13">
      <selection activeCell="A2" sqref="A2"/>
      <pageMargins left="0.7" right="0.7" top="0.75" bottom="0.75" header="0.3" footer="0.3"/>
      <pageSetup paperSize="9" orientation="landscape" r:id="rId1"/>
    </customSheetView>
    <customSheetView guid="{8C3311D4-BF6B-4714-8FEE-EF832EA44719}" scale="85" showPageBreaks="1" view="pageBreakPreview">
      <selection activeCell="H9" sqref="H9"/>
      <pageMargins left="0.7" right="0.7" top="0.75" bottom="0.75" header="0.3" footer="0.3"/>
      <pageSetup paperSize="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view="pageBreakPreview" zoomScale="70" zoomScaleNormal="85" zoomScaleSheetLayoutView="70" workbookViewId="0">
      <selection activeCell="G41" sqref="G41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4" width="11.625" style="95" customWidth="1"/>
    <col min="5" max="5" width="11.625" style="6" customWidth="1"/>
    <col min="6" max="6" width="17.625" style="6" customWidth="1"/>
    <col min="7" max="16384" width="9" style="6"/>
  </cols>
  <sheetData>
    <row r="1" spans="1:8">
      <c r="A1" s="164" t="s">
        <v>286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118" t="s">
        <v>2</v>
      </c>
      <c r="E3" s="2" t="s">
        <v>3</v>
      </c>
      <c r="F3" s="2" t="s">
        <v>41</v>
      </c>
    </row>
    <row r="4" spans="1:8">
      <c r="A4" s="8"/>
      <c r="B4" s="21"/>
      <c r="C4" s="8"/>
      <c r="D4" s="17"/>
      <c r="E4" s="12"/>
      <c r="F4" s="10"/>
      <c r="G4" s="31"/>
      <c r="H4" s="32"/>
    </row>
    <row r="5" spans="1:8" s="20" customFormat="1">
      <c r="A5" s="21"/>
      <c r="B5" s="21"/>
      <c r="C5" s="21"/>
      <c r="D5" s="17"/>
      <c r="E5" s="23"/>
      <c r="F5" s="21"/>
      <c r="G5" s="13"/>
    </row>
    <row r="6" spans="1:8" s="20" customFormat="1">
      <c r="A6" s="41"/>
      <c r="B6" s="42"/>
      <c r="C6" s="42"/>
      <c r="D6" s="119"/>
      <c r="E6" s="43"/>
      <c r="F6" s="44"/>
      <c r="G6" s="13"/>
    </row>
    <row r="7" spans="1:8" s="20" customFormat="1">
      <c r="A7" s="21"/>
      <c r="B7" s="21"/>
      <c r="C7" s="21"/>
      <c r="D7" s="17"/>
      <c r="E7" s="12"/>
      <c r="F7" s="22"/>
      <c r="G7" s="13"/>
    </row>
    <row r="8" spans="1:8" s="20" customFormat="1">
      <c r="A8" s="21"/>
      <c r="B8" s="21"/>
      <c r="C8" s="21"/>
      <c r="D8" s="17"/>
      <c r="E8" s="12"/>
      <c r="F8" s="22"/>
      <c r="G8" s="13"/>
    </row>
    <row r="9" spans="1:8">
      <c r="A9" s="8"/>
      <c r="B9" s="21"/>
      <c r="C9" s="21"/>
      <c r="D9" s="17"/>
      <c r="E9" s="12"/>
      <c r="F9" s="22"/>
      <c r="G9" s="13"/>
    </row>
    <row r="10" spans="1:8">
      <c r="A10" s="8"/>
      <c r="B10" s="21"/>
      <c r="C10" s="21"/>
      <c r="D10" s="17"/>
      <c r="E10" s="12"/>
      <c r="F10" s="22"/>
      <c r="G10" s="13"/>
    </row>
    <row r="11" spans="1:8">
      <c r="A11" s="8"/>
      <c r="B11" s="21"/>
      <c r="C11" s="8"/>
      <c r="D11" s="17"/>
      <c r="E11" s="12"/>
      <c r="F11" s="10"/>
      <c r="G11" s="13"/>
    </row>
    <row r="12" spans="1:8">
      <c r="A12" s="8"/>
      <c r="B12" s="21"/>
      <c r="C12" s="8"/>
      <c r="D12" s="17"/>
      <c r="E12" s="8"/>
      <c r="F12" s="10"/>
    </row>
    <row r="13" spans="1:8">
      <c r="A13" s="8"/>
      <c r="B13" s="58"/>
      <c r="C13" s="17"/>
      <c r="D13" s="17"/>
      <c r="E13" s="52"/>
      <c r="F13" s="10"/>
    </row>
    <row r="14" spans="1:8">
      <c r="A14" s="8"/>
      <c r="B14" s="21"/>
      <c r="C14" s="8"/>
      <c r="D14" s="17"/>
      <c r="E14" s="8"/>
      <c r="F14" s="10"/>
    </row>
    <row r="15" spans="1:8" s="20" customFormat="1">
      <c r="A15" s="58"/>
      <c r="B15" s="58"/>
      <c r="C15" s="58"/>
      <c r="D15" s="17"/>
      <c r="E15" s="58"/>
      <c r="F15" s="57"/>
    </row>
    <row r="16" spans="1:8" s="20" customFormat="1">
      <c r="A16" s="58"/>
      <c r="B16" s="58"/>
      <c r="C16" s="58"/>
      <c r="D16" s="17"/>
      <c r="E16" s="58"/>
      <c r="F16" s="57"/>
    </row>
    <row r="17" spans="1:7" s="20" customFormat="1">
      <c r="A17" s="58"/>
      <c r="B17" s="58"/>
      <c r="C17" s="58"/>
      <c r="D17" s="17"/>
      <c r="E17" s="58"/>
      <c r="F17" s="57"/>
    </row>
    <row r="18" spans="1:7">
      <c r="A18" s="8"/>
      <c r="B18" s="21"/>
      <c r="C18" s="8"/>
      <c r="D18" s="17"/>
      <c r="E18" s="12"/>
      <c r="F18" s="10"/>
    </row>
    <row r="19" spans="1:7" s="20" customFormat="1">
      <c r="A19" s="58"/>
      <c r="B19" s="58"/>
      <c r="C19" s="58"/>
      <c r="D19" s="17"/>
      <c r="E19" s="52"/>
      <c r="F19" s="57"/>
    </row>
    <row r="20" spans="1:7" s="20" customFormat="1">
      <c r="A20" s="58"/>
      <c r="B20" s="58"/>
      <c r="C20" s="58"/>
      <c r="D20" s="17"/>
      <c r="E20" s="52"/>
      <c r="F20" s="57"/>
    </row>
    <row r="21" spans="1:7">
      <c r="A21" s="8"/>
      <c r="B21" s="21"/>
      <c r="C21" s="8"/>
      <c r="D21" s="17"/>
      <c r="E21" s="12"/>
      <c r="F21" s="10"/>
    </row>
    <row r="22" spans="1:7">
      <c r="A22" s="8"/>
      <c r="B22" s="21"/>
      <c r="C22" s="8"/>
      <c r="D22" s="17"/>
      <c r="E22" s="8"/>
      <c r="F22" s="10"/>
    </row>
    <row r="23" spans="1:7">
      <c r="A23" s="8"/>
      <c r="B23" s="58"/>
      <c r="C23" s="58"/>
      <c r="D23" s="17"/>
      <c r="E23" s="52"/>
      <c r="F23" s="57"/>
      <c r="G23" s="13"/>
    </row>
    <row r="24" spans="1:7">
      <c r="A24" s="8"/>
      <c r="B24" s="21"/>
      <c r="C24" s="8"/>
      <c r="D24" s="17"/>
      <c r="E24" s="12"/>
      <c r="F24" s="10"/>
      <c r="G24" s="13"/>
    </row>
    <row r="25" spans="1:7">
      <c r="A25" s="8"/>
      <c r="B25" s="21"/>
      <c r="C25" s="8"/>
      <c r="D25" s="17"/>
      <c r="E25" s="12"/>
      <c r="F25" s="10"/>
      <c r="G25" s="13"/>
    </row>
    <row r="26" spans="1:7">
      <c r="D26" s="95" t="s">
        <v>5</v>
      </c>
      <c r="E26" s="14">
        <f>SUM(E4:E25)</f>
        <v>0</v>
      </c>
    </row>
    <row r="29" spans="1:7">
      <c r="A29" s="6" t="s">
        <v>259</v>
      </c>
      <c r="B29" s="20">
        <v>3</v>
      </c>
      <c r="C29" s="6" t="s">
        <v>257</v>
      </c>
      <c r="E29" s="6">
        <f>500*B29</f>
        <v>1500</v>
      </c>
      <c r="F29" s="6" t="s">
        <v>258</v>
      </c>
    </row>
    <row r="30" spans="1:7">
      <c r="A30" s="6" t="s">
        <v>247</v>
      </c>
    </row>
    <row r="31" spans="1:7">
      <c r="A31" s="165" t="s">
        <v>253</v>
      </c>
      <c r="B31" s="165"/>
      <c r="C31" s="165"/>
      <c r="D31" s="165"/>
      <c r="E31" s="52"/>
    </row>
    <row r="32" spans="1:7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printArea="1" view="pageBreakPreview">
      <selection activeCell="E31" sqref="E31"/>
      <pageMargins left="0.7" right="0.7" top="0.75" bottom="0.75" header="0.3" footer="0.3"/>
      <pageSetup paperSize="9" orientation="landscape" r:id="rId1"/>
    </customSheetView>
    <customSheetView guid="{8C3311D4-BF6B-4714-8FEE-EF832EA44719}" scale="70" showPageBreaks="1" printArea="1" view="pageBreakPreview">
      <selection activeCell="G41" sqref="G41"/>
      <pageMargins left="0.7" right="0.7" top="0.75" bottom="0.75" header="0.3" footer="0.3"/>
      <pageSetup paperSize="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4"/>
  <sheetViews>
    <sheetView tabSelected="1" view="pageBreakPreview" zoomScale="70" zoomScaleNormal="55" zoomScaleSheetLayoutView="70" workbookViewId="0">
      <selection activeCell="C17" sqref="C17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6">
      <c r="A1" s="164" t="s">
        <v>287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6">
      <c r="A4" s="8" t="s">
        <v>363</v>
      </c>
      <c r="B4" s="21"/>
      <c r="C4" s="21" t="s">
        <v>370</v>
      </c>
      <c r="D4" s="15" t="s">
        <v>186</v>
      </c>
      <c r="E4" s="8">
        <v>1922</v>
      </c>
      <c r="F4" s="8"/>
    </row>
    <row r="5" spans="1:6">
      <c r="A5" s="8" t="s">
        <v>379</v>
      </c>
      <c r="B5" s="21" t="s">
        <v>6</v>
      </c>
      <c r="C5" s="8" t="s">
        <v>384</v>
      </c>
      <c r="D5" s="33"/>
      <c r="E5" s="8"/>
      <c r="F5" s="8"/>
    </row>
    <row r="6" spans="1:6">
      <c r="A6" s="8" t="s">
        <v>376</v>
      </c>
      <c r="B6" s="21"/>
      <c r="C6" s="8" t="s">
        <v>323</v>
      </c>
      <c r="D6" s="8" t="s">
        <v>344</v>
      </c>
      <c r="E6" s="8"/>
      <c r="F6" s="8"/>
    </row>
    <row r="7" spans="1:6">
      <c r="A7" s="8" t="s">
        <v>333</v>
      </c>
      <c r="B7" s="21"/>
      <c r="C7" s="8" t="s">
        <v>324</v>
      </c>
      <c r="D7" s="8" t="s">
        <v>345</v>
      </c>
      <c r="E7" s="8"/>
      <c r="F7" s="8"/>
    </row>
    <row r="8" spans="1:6">
      <c r="A8" s="8" t="s">
        <v>380</v>
      </c>
      <c r="B8" s="21"/>
      <c r="C8" s="8" t="s">
        <v>385</v>
      </c>
      <c r="D8" s="8" t="s">
        <v>30</v>
      </c>
      <c r="E8" s="8"/>
      <c r="F8" s="8"/>
    </row>
    <row r="9" spans="1:6">
      <c r="A9" s="8" t="s">
        <v>364</v>
      </c>
      <c r="B9" s="21"/>
      <c r="C9" s="8" t="s">
        <v>371</v>
      </c>
      <c r="D9" s="8"/>
      <c r="E9" s="8"/>
      <c r="F9" s="8"/>
    </row>
    <row r="10" spans="1:6">
      <c r="A10" s="8" t="s">
        <v>377</v>
      </c>
      <c r="B10" s="21"/>
      <c r="C10" s="8" t="s">
        <v>383</v>
      </c>
      <c r="D10" s="8" t="s">
        <v>8</v>
      </c>
      <c r="E10" s="8"/>
      <c r="F10" s="8"/>
    </row>
    <row r="11" spans="1:6" s="20" customFormat="1">
      <c r="A11" s="58" t="s">
        <v>335</v>
      </c>
      <c r="B11" s="58"/>
      <c r="C11" s="17" t="s">
        <v>35</v>
      </c>
      <c r="D11" s="58" t="s">
        <v>347</v>
      </c>
      <c r="E11" s="58"/>
      <c r="F11" s="58"/>
    </row>
    <row r="12" spans="1:6" s="20" customFormat="1">
      <c r="A12" s="58" t="s">
        <v>336</v>
      </c>
      <c r="B12" s="58"/>
      <c r="C12" s="58" t="s">
        <v>326</v>
      </c>
      <c r="D12" s="58" t="s">
        <v>347</v>
      </c>
      <c r="E12" s="58"/>
      <c r="F12" s="58"/>
    </row>
    <row r="13" spans="1:6" s="20" customFormat="1">
      <c r="A13" s="58" t="s">
        <v>382</v>
      </c>
      <c r="B13" s="58" t="s">
        <v>6</v>
      </c>
      <c r="C13" s="58" t="s">
        <v>359</v>
      </c>
      <c r="D13" s="58"/>
      <c r="E13" s="58"/>
      <c r="F13" s="58"/>
    </row>
    <row r="14" spans="1:6" s="20" customFormat="1">
      <c r="A14" s="58" t="s">
        <v>338</v>
      </c>
      <c r="B14" s="58"/>
      <c r="C14" s="58" t="s">
        <v>328</v>
      </c>
      <c r="D14" s="58" t="s">
        <v>36</v>
      </c>
      <c r="E14" s="58"/>
      <c r="F14" s="58"/>
    </row>
    <row r="15" spans="1:6" s="20" customFormat="1">
      <c r="A15" s="58" t="s">
        <v>366</v>
      </c>
      <c r="B15" s="58" t="s">
        <v>6</v>
      </c>
      <c r="C15" s="58" t="s">
        <v>359</v>
      </c>
      <c r="D15" s="58"/>
      <c r="E15" s="58"/>
      <c r="F15" s="58"/>
    </row>
    <row r="16" spans="1:6" s="20" customFormat="1">
      <c r="A16" s="58" t="s">
        <v>331</v>
      </c>
      <c r="B16" s="58"/>
      <c r="C16" s="58"/>
      <c r="D16" s="58"/>
      <c r="E16" s="58"/>
      <c r="F16" s="58"/>
    </row>
    <row r="17" spans="1:6">
      <c r="A17" s="8" t="s">
        <v>343</v>
      </c>
      <c r="B17" s="21"/>
      <c r="C17" s="17"/>
      <c r="D17" s="8"/>
      <c r="E17" s="8"/>
      <c r="F17" s="8"/>
    </row>
    <row r="18" spans="1:6">
      <c r="A18" s="8"/>
      <c r="B18" s="58"/>
      <c r="C18" s="8"/>
      <c r="D18" s="8"/>
      <c r="E18" s="8"/>
      <c r="F18" s="8"/>
    </row>
    <row r="19" spans="1:6">
      <c r="A19" s="8"/>
      <c r="B19" s="58"/>
      <c r="C19" s="8"/>
      <c r="D19" s="8"/>
      <c r="E19" s="8"/>
      <c r="F19" s="8"/>
    </row>
    <row r="20" spans="1:6" s="20" customFormat="1">
      <c r="A20" s="58"/>
      <c r="B20" s="58"/>
      <c r="C20" s="58"/>
      <c r="D20" s="58"/>
      <c r="E20" s="58"/>
      <c r="F20" s="58"/>
    </row>
    <row r="21" spans="1:6" s="20" customFormat="1">
      <c r="A21" s="58"/>
      <c r="B21" s="58"/>
      <c r="C21" s="58"/>
      <c r="D21" s="58"/>
      <c r="E21" s="58"/>
      <c r="F21" s="58"/>
    </row>
    <row r="22" spans="1:6" s="20" customFormat="1">
      <c r="A22" s="58"/>
      <c r="B22" s="58"/>
      <c r="C22" s="58"/>
      <c r="D22" s="58"/>
      <c r="E22" s="58"/>
      <c r="F22" s="58"/>
    </row>
    <row r="23" spans="1:6">
      <c r="A23" s="8"/>
      <c r="B23" s="58"/>
      <c r="C23" s="8"/>
      <c r="D23" s="8"/>
      <c r="E23" s="8"/>
      <c r="F23" s="8"/>
    </row>
    <row r="24" spans="1:6">
      <c r="A24" s="8"/>
      <c r="B24" s="58"/>
      <c r="C24" s="8"/>
      <c r="D24" s="8"/>
      <c r="E24" s="8"/>
      <c r="F24" s="8"/>
    </row>
    <row r="25" spans="1:6">
      <c r="A25" s="8"/>
      <c r="B25" s="21"/>
      <c r="C25" s="8"/>
      <c r="D25" s="8"/>
      <c r="E25" s="8"/>
      <c r="F25" s="8"/>
    </row>
    <row r="26" spans="1:6">
      <c r="D26" s="6" t="s">
        <v>5</v>
      </c>
      <c r="E26" s="6">
        <f>SUM(E4:E25)</f>
        <v>1922</v>
      </c>
    </row>
    <row r="29" spans="1:6">
      <c r="A29" s="6" t="s">
        <v>259</v>
      </c>
      <c r="C29" s="6" t="s">
        <v>257</v>
      </c>
      <c r="E29" s="6">
        <f>500*B29</f>
        <v>0</v>
      </c>
      <c r="F29" s="6" t="s">
        <v>258</v>
      </c>
    </row>
    <row r="30" spans="1:6">
      <c r="A30" s="6" t="s">
        <v>247</v>
      </c>
    </row>
    <row r="31" spans="1:6">
      <c r="A31" s="165" t="s">
        <v>252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cale="70" showPageBreaks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4"/>
  <sheetViews>
    <sheetView view="pageBreakPreview" zoomScale="70" zoomScaleNormal="100" zoomScaleSheetLayoutView="70" workbookViewId="0">
      <selection activeCell="F11" sqref="F11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4" width="11.625" style="95" customWidth="1"/>
    <col min="5" max="5" width="11.625" customWidth="1"/>
    <col min="6" max="6" width="17.625" customWidth="1"/>
    <col min="8" max="10" width="9" style="20"/>
  </cols>
  <sheetData>
    <row r="1" spans="1:10">
      <c r="A1" s="164" t="s">
        <v>288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118" t="s">
        <v>2</v>
      </c>
      <c r="E3" s="2" t="s">
        <v>3</v>
      </c>
      <c r="F3" s="2" t="s">
        <v>40</v>
      </c>
    </row>
    <row r="4" spans="1:10">
      <c r="A4" s="9" t="s">
        <v>331</v>
      </c>
      <c r="B4" s="9"/>
      <c r="C4" s="9" t="s">
        <v>322</v>
      </c>
      <c r="D4" s="33" t="s">
        <v>30</v>
      </c>
      <c r="E4" s="25"/>
      <c r="F4" s="9"/>
      <c r="G4" s="138"/>
      <c r="I4" s="7"/>
    </row>
    <row r="5" spans="1:10" s="6" customFormat="1">
      <c r="A5" s="9" t="s">
        <v>332</v>
      </c>
      <c r="B5" s="9"/>
      <c r="C5" s="9" t="s">
        <v>323</v>
      </c>
      <c r="D5" s="120" t="s">
        <v>344</v>
      </c>
      <c r="E5" s="139"/>
      <c r="F5" s="9"/>
      <c r="G5" s="138"/>
      <c r="H5" s="13" t="s">
        <v>271</v>
      </c>
      <c r="I5" s="7"/>
      <c r="J5" s="7">
        <f>SUM(E4:E9,E11)</f>
        <v>0</v>
      </c>
    </row>
    <row r="6" spans="1:10" s="6" customFormat="1">
      <c r="A6" s="9" t="s">
        <v>333</v>
      </c>
      <c r="B6" s="9"/>
      <c r="C6" s="9" t="s">
        <v>324</v>
      </c>
      <c r="D6" s="120" t="s">
        <v>345</v>
      </c>
      <c r="E6" s="139"/>
      <c r="F6" s="9"/>
      <c r="G6" s="138"/>
      <c r="H6" s="13" t="s">
        <v>267</v>
      </c>
      <c r="I6" s="20"/>
      <c r="J6" s="20">
        <f>SUMIF($G$4:$G$11,H6,$E$4:$E$11)</f>
        <v>0</v>
      </c>
    </row>
    <row r="7" spans="1:10" s="6" customFormat="1" ht="14.25" thickBot="1">
      <c r="A7" s="9" t="s">
        <v>334</v>
      </c>
      <c r="B7" s="9"/>
      <c r="C7" s="9" t="s">
        <v>325</v>
      </c>
      <c r="D7" s="120" t="s">
        <v>346</v>
      </c>
      <c r="E7" s="139"/>
      <c r="F7" s="9"/>
      <c r="G7" s="138"/>
      <c r="H7" s="123" t="s">
        <v>272</v>
      </c>
      <c r="I7" s="124"/>
      <c r="J7" s="124">
        <f>SUMIF($G$4:$G$11,H7,$E$4:$E$11)</f>
        <v>0</v>
      </c>
    </row>
    <row r="8" spans="1:10" ht="14.25" thickTop="1">
      <c r="A8" s="24" t="s">
        <v>335</v>
      </c>
      <c r="B8" s="9"/>
      <c r="C8" s="9" t="s">
        <v>35</v>
      </c>
      <c r="D8" s="140" t="s">
        <v>347</v>
      </c>
      <c r="E8" s="139"/>
      <c r="F8" s="9"/>
      <c r="G8" s="138"/>
      <c r="H8" s="13" t="s">
        <v>269</v>
      </c>
      <c r="J8" s="7">
        <f>$J$5+$J$6</f>
        <v>0</v>
      </c>
    </row>
    <row r="9" spans="1:10">
      <c r="A9" s="24" t="s">
        <v>336</v>
      </c>
      <c r="B9" s="9"/>
      <c r="C9" s="9" t="s">
        <v>326</v>
      </c>
      <c r="D9" s="120" t="s">
        <v>347</v>
      </c>
      <c r="E9" s="139"/>
      <c r="F9" s="9"/>
      <c r="G9" s="138"/>
      <c r="H9" s="13" t="s">
        <v>273</v>
      </c>
      <c r="J9" s="7">
        <f>$J$5+$J$7</f>
        <v>0</v>
      </c>
    </row>
    <row r="10" spans="1:10">
      <c r="A10" s="158" t="s">
        <v>337</v>
      </c>
      <c r="B10" s="9"/>
      <c r="C10" s="9" t="s">
        <v>327</v>
      </c>
      <c r="D10" s="120" t="s">
        <v>348</v>
      </c>
      <c r="E10" s="139"/>
      <c r="F10" s="9"/>
      <c r="G10" s="31"/>
      <c r="H10" s="13"/>
    </row>
    <row r="11" spans="1:10" s="6" customFormat="1">
      <c r="A11" s="9" t="s">
        <v>338</v>
      </c>
      <c r="B11" s="9"/>
      <c r="C11" s="120" t="s">
        <v>328</v>
      </c>
      <c r="D11" s="120" t="s">
        <v>36</v>
      </c>
      <c r="E11" s="139"/>
      <c r="F11" s="9"/>
      <c r="G11" s="138"/>
      <c r="H11" s="13"/>
      <c r="I11" s="20"/>
      <c r="J11" s="20"/>
    </row>
    <row r="12" spans="1:10" s="20" customFormat="1">
      <c r="A12" s="9" t="s">
        <v>339</v>
      </c>
      <c r="B12" s="9"/>
      <c r="C12" s="9" t="s">
        <v>329</v>
      </c>
      <c r="D12" s="120"/>
      <c r="E12" s="139"/>
      <c r="F12" s="9"/>
      <c r="G12" s="138"/>
      <c r="H12" s="13"/>
    </row>
    <row r="13" spans="1:10" s="20" customFormat="1">
      <c r="A13" s="24" t="s">
        <v>340</v>
      </c>
      <c r="B13" s="9"/>
      <c r="C13" s="9"/>
      <c r="D13" s="120"/>
      <c r="E13" s="139"/>
      <c r="F13" s="9"/>
      <c r="G13" s="138"/>
      <c r="H13" s="13"/>
    </row>
    <row r="14" spans="1:10" s="20" customFormat="1">
      <c r="A14" s="9" t="s">
        <v>341</v>
      </c>
      <c r="B14" s="9" t="s">
        <v>6</v>
      </c>
      <c r="C14" s="9" t="s">
        <v>330</v>
      </c>
      <c r="D14" s="120"/>
      <c r="E14" s="139"/>
      <c r="F14" s="9"/>
      <c r="G14" s="138"/>
      <c r="H14" s="13"/>
    </row>
    <row r="15" spans="1:10" s="20" customFormat="1">
      <c r="A15" s="158" t="s">
        <v>342</v>
      </c>
      <c r="B15" s="9"/>
      <c r="C15" s="9"/>
      <c r="D15" s="120"/>
      <c r="E15" s="139"/>
      <c r="F15" s="9"/>
      <c r="G15" s="138"/>
      <c r="H15" s="13"/>
    </row>
    <row r="16" spans="1:10" s="20" customFormat="1">
      <c r="A16" s="9" t="s">
        <v>343</v>
      </c>
      <c r="B16" s="9"/>
      <c r="C16" s="9"/>
      <c r="D16" s="120"/>
      <c r="E16" s="139"/>
      <c r="F16" s="9"/>
      <c r="G16" s="138"/>
      <c r="H16" s="13"/>
    </row>
    <row r="17" spans="1:10" s="20" customFormat="1">
      <c r="A17" s="9"/>
      <c r="B17" s="9"/>
      <c r="C17" s="9"/>
      <c r="D17" s="120"/>
      <c r="E17" s="139"/>
      <c r="F17" s="9"/>
      <c r="G17" s="138"/>
    </row>
    <row r="18" spans="1:10" s="20" customFormat="1">
      <c r="A18" s="9"/>
      <c r="B18" s="9"/>
      <c r="C18" s="9"/>
      <c r="D18" s="120"/>
      <c r="E18" s="139"/>
      <c r="F18" s="9"/>
      <c r="G18" s="138"/>
    </row>
    <row r="19" spans="1:10" s="20" customFormat="1">
      <c r="A19" s="9"/>
      <c r="B19" s="9"/>
      <c r="C19" s="9"/>
      <c r="D19" s="120"/>
      <c r="E19" s="139"/>
      <c r="F19" s="9"/>
      <c r="G19" s="138"/>
    </row>
    <row r="20" spans="1:10" s="20" customFormat="1">
      <c r="A20" s="9"/>
      <c r="B20" s="9"/>
      <c r="C20" s="9"/>
      <c r="D20" s="120"/>
      <c r="E20" s="139"/>
      <c r="F20" s="9"/>
      <c r="G20" s="138"/>
    </row>
    <row r="21" spans="1:10" s="6" customFormat="1">
      <c r="A21" s="9"/>
      <c r="B21" s="9"/>
      <c r="C21" s="9"/>
      <c r="D21" s="141"/>
      <c r="E21" s="139"/>
      <c r="F21" s="9"/>
      <c r="G21" s="138"/>
      <c r="H21" s="20"/>
      <c r="I21" s="20"/>
      <c r="J21" s="20"/>
    </row>
    <row r="22" spans="1:10" s="6" customFormat="1">
      <c r="A22" s="9"/>
      <c r="B22" s="9"/>
      <c r="C22" s="9"/>
      <c r="D22" s="120"/>
      <c r="E22" s="139"/>
      <c r="F22" s="9"/>
      <c r="G22" s="138"/>
      <c r="H22" s="20"/>
      <c r="I22" s="20"/>
      <c r="J22" s="20"/>
    </row>
    <row r="23" spans="1:10" s="6" customFormat="1">
      <c r="A23" s="9"/>
      <c r="B23" s="9"/>
      <c r="C23" s="9"/>
      <c r="D23" s="33"/>
      <c r="E23" s="25"/>
      <c r="F23" s="9"/>
      <c r="G23" s="138"/>
      <c r="H23" s="20"/>
      <c r="I23" s="7"/>
      <c r="J23" s="7"/>
    </row>
    <row r="24" spans="1:10" s="20" customFormat="1">
      <c r="A24" s="9"/>
      <c r="B24" s="9"/>
      <c r="C24" s="9"/>
      <c r="D24" s="120"/>
      <c r="E24" s="139"/>
      <c r="F24" s="9"/>
      <c r="G24" s="31"/>
      <c r="H24" s="13"/>
    </row>
    <row r="25" spans="1:10">
      <c r="A25" s="9"/>
      <c r="B25" s="9"/>
      <c r="C25" s="9"/>
      <c r="D25" s="120"/>
      <c r="E25" s="139"/>
      <c r="F25" s="9"/>
      <c r="G25" s="138"/>
    </row>
    <row r="26" spans="1:10">
      <c r="D26" s="95" t="s">
        <v>5</v>
      </c>
      <c r="E26" s="28">
        <f>SUM(E5:E25)</f>
        <v>0</v>
      </c>
    </row>
    <row r="27" spans="1:10">
      <c r="A27" s="30"/>
      <c r="B27" s="13" t="s">
        <v>75</v>
      </c>
      <c r="C27" s="20"/>
    </row>
    <row r="28" spans="1:10">
      <c r="A28" s="20" t="s">
        <v>261</v>
      </c>
      <c r="B28" s="20">
        <v>2</v>
      </c>
      <c r="C28" s="13" t="s">
        <v>263</v>
      </c>
      <c r="E28" s="20">
        <f>500*B28</f>
        <v>1000</v>
      </c>
      <c r="F28" t="s">
        <v>264</v>
      </c>
    </row>
    <row r="29" spans="1:10">
      <c r="A29" t="s">
        <v>262</v>
      </c>
      <c r="B29" s="20">
        <v>3</v>
      </c>
      <c r="C29" t="s">
        <v>257</v>
      </c>
      <c r="E29">
        <f>500*B29</f>
        <v>1500</v>
      </c>
      <c r="F29" t="s">
        <v>258</v>
      </c>
    </row>
    <row r="30" spans="1:10">
      <c r="A30" t="s">
        <v>247</v>
      </c>
    </row>
    <row r="31" spans="1:10">
      <c r="A31" s="165" t="s">
        <v>251</v>
      </c>
      <c r="B31" s="165"/>
      <c r="C31" s="165"/>
      <c r="D31" s="165"/>
      <c r="E31" s="52"/>
    </row>
    <row r="32" spans="1:10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1"/>
    </customSheetView>
    <customSheetView guid="{8C3311D4-BF6B-4714-8FEE-EF832EA44719}" scale="70" showPageBreaks="1" view="pageBreakPreview">
      <selection activeCell="B28" sqref="B28"/>
      <pageMargins left="0.7" right="0.7" top="0.75" bottom="0.75" header="0.3" footer="0.3"/>
      <pageSetup paperSize="9" scale="80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4"/>
  <sheetViews>
    <sheetView view="pageBreakPreview" zoomScale="70" zoomScaleNormal="85" zoomScaleSheetLayoutView="70" workbookViewId="0">
      <selection activeCell="H8" sqref="H8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4" width="11.625" style="95" customWidth="1"/>
    <col min="5" max="5" width="11.625" customWidth="1"/>
    <col min="6" max="6" width="17.625" customWidth="1"/>
    <col min="8" max="10" width="9" style="20"/>
  </cols>
  <sheetData>
    <row r="1" spans="1:10">
      <c r="A1" s="164" t="s">
        <v>289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118" t="s">
        <v>2</v>
      </c>
      <c r="E3" s="2" t="s">
        <v>3</v>
      </c>
      <c r="F3" s="2" t="s">
        <v>40</v>
      </c>
    </row>
    <row r="4" spans="1:10" s="6" customFormat="1">
      <c r="A4" s="9" t="s">
        <v>349</v>
      </c>
      <c r="B4" s="9"/>
      <c r="C4" s="9" t="s">
        <v>357</v>
      </c>
      <c r="D4" s="120" t="s">
        <v>186</v>
      </c>
      <c r="E4" s="25">
        <v>1382</v>
      </c>
      <c r="F4" s="9"/>
      <c r="H4" s="13" t="s">
        <v>271</v>
      </c>
      <c r="I4" s="7"/>
      <c r="J4" s="7">
        <f>SUM(E4:E7,E10)</f>
        <v>1382</v>
      </c>
    </row>
    <row r="5" spans="1:10" s="20" customFormat="1">
      <c r="A5" s="9" t="s">
        <v>350</v>
      </c>
      <c r="B5" s="9"/>
      <c r="C5" s="9"/>
      <c r="D5" s="142"/>
      <c r="E5" s="25"/>
      <c r="F5" s="9"/>
      <c r="H5" s="13" t="s">
        <v>267</v>
      </c>
      <c r="J5" s="20">
        <f>SUMIF($G$4:$G$25,H5,$E$4:$E$25)</f>
        <v>0</v>
      </c>
    </row>
    <row r="6" spans="1:10" s="20" customFormat="1" ht="14.25" thickBot="1">
      <c r="A6" s="9" t="s">
        <v>351</v>
      </c>
      <c r="B6" s="9"/>
      <c r="C6" s="9" t="s">
        <v>34</v>
      </c>
      <c r="D6" s="142" t="s">
        <v>8</v>
      </c>
      <c r="E6" s="25"/>
      <c r="F6" s="9"/>
      <c r="H6" s="123" t="s">
        <v>272</v>
      </c>
      <c r="I6" s="124"/>
      <c r="J6" s="124">
        <f>SUMIF($G$4:$G$25,H6,$E$4:$E$25)</f>
        <v>1922</v>
      </c>
    </row>
    <row r="7" spans="1:10" s="20" customFormat="1" ht="14.25" thickTop="1">
      <c r="A7" s="9" t="s">
        <v>352</v>
      </c>
      <c r="B7" s="9"/>
      <c r="C7" s="9" t="s">
        <v>358</v>
      </c>
      <c r="D7" s="143" t="s">
        <v>362</v>
      </c>
      <c r="E7" s="25"/>
      <c r="F7" s="9"/>
      <c r="H7" s="13" t="s">
        <v>269</v>
      </c>
      <c r="J7" s="7">
        <f>$J$4+$J$5</f>
        <v>1382</v>
      </c>
    </row>
    <row r="8" spans="1:10" s="20" customFormat="1">
      <c r="A8" s="9" t="s">
        <v>353</v>
      </c>
      <c r="B8" s="9" t="s">
        <v>6</v>
      </c>
      <c r="C8" s="9" t="s">
        <v>359</v>
      </c>
      <c r="D8" s="142"/>
      <c r="E8" s="25"/>
      <c r="F8" s="9"/>
      <c r="G8" s="31" t="s">
        <v>77</v>
      </c>
      <c r="H8" s="13" t="s">
        <v>273</v>
      </c>
      <c r="J8" s="7">
        <f>$J$4+$J$6</f>
        <v>3304</v>
      </c>
    </row>
    <row r="9" spans="1:10" s="20" customFormat="1">
      <c r="A9" s="9" t="s">
        <v>354</v>
      </c>
      <c r="B9" s="9"/>
      <c r="C9" s="9" t="s">
        <v>360</v>
      </c>
      <c r="D9" s="142" t="s">
        <v>7</v>
      </c>
      <c r="E9" s="25">
        <v>1922</v>
      </c>
      <c r="F9" s="9"/>
      <c r="G9" s="31" t="s">
        <v>78</v>
      </c>
      <c r="H9" s="13"/>
    </row>
    <row r="10" spans="1:10" s="20" customFormat="1">
      <c r="A10" s="9" t="s">
        <v>339</v>
      </c>
      <c r="B10" s="9"/>
      <c r="C10" s="9" t="s">
        <v>329</v>
      </c>
      <c r="D10" s="120"/>
      <c r="E10" s="25"/>
      <c r="F10" s="9"/>
      <c r="G10" s="13"/>
      <c r="H10" s="13"/>
    </row>
    <row r="11" spans="1:10" s="6" customFormat="1">
      <c r="A11" s="9" t="s">
        <v>355</v>
      </c>
      <c r="B11" s="9"/>
      <c r="C11" s="9"/>
      <c r="D11" s="120"/>
      <c r="E11" s="25"/>
      <c r="F11" s="9"/>
      <c r="H11" s="13"/>
      <c r="I11" s="20"/>
      <c r="J11" s="20"/>
    </row>
    <row r="12" spans="1:10" s="20" customFormat="1">
      <c r="A12" s="9" t="s">
        <v>356</v>
      </c>
      <c r="B12" s="9" t="s">
        <v>6</v>
      </c>
      <c r="C12" s="9" t="s">
        <v>361</v>
      </c>
      <c r="D12" s="120"/>
      <c r="E12" s="25"/>
      <c r="F12" s="9"/>
      <c r="H12" s="13"/>
    </row>
    <row r="13" spans="1:10" s="20" customFormat="1">
      <c r="A13" s="9"/>
      <c r="B13" s="9"/>
      <c r="C13" s="9"/>
      <c r="D13" s="120"/>
      <c r="E13" s="25"/>
      <c r="F13" s="9"/>
      <c r="H13" s="13"/>
    </row>
    <row r="14" spans="1:10" s="20" customFormat="1">
      <c r="A14" s="9"/>
      <c r="B14" s="9"/>
      <c r="C14" s="9"/>
      <c r="D14" s="120"/>
      <c r="E14" s="25"/>
      <c r="F14" s="9"/>
      <c r="H14" s="13"/>
    </row>
    <row r="15" spans="1:10" s="20" customFormat="1">
      <c r="A15" s="9"/>
      <c r="B15" s="9"/>
      <c r="C15" s="9"/>
      <c r="D15" s="120"/>
      <c r="E15" s="25"/>
      <c r="F15" s="9"/>
      <c r="H15" s="13"/>
    </row>
    <row r="16" spans="1:10" s="20" customFormat="1">
      <c r="A16" s="9"/>
      <c r="B16" s="9"/>
      <c r="C16" s="9"/>
      <c r="D16" s="120"/>
      <c r="E16" s="25"/>
      <c r="F16" s="9"/>
    </row>
    <row r="17" spans="1:10" s="20" customFormat="1">
      <c r="A17" s="9"/>
      <c r="B17" s="9"/>
      <c r="C17" s="9"/>
      <c r="D17" s="120"/>
      <c r="E17" s="25"/>
      <c r="F17" s="9"/>
    </row>
    <row r="18" spans="1:10" s="20" customFormat="1">
      <c r="A18" s="9"/>
      <c r="B18" s="9"/>
      <c r="C18" s="9"/>
      <c r="D18" s="120"/>
      <c r="E18" s="25"/>
      <c r="F18" s="9"/>
    </row>
    <row r="19" spans="1:10" s="6" customFormat="1">
      <c r="A19" s="9"/>
      <c r="B19" s="9"/>
      <c r="C19" s="9"/>
      <c r="D19" s="120"/>
      <c r="E19" s="25"/>
      <c r="F19" s="9"/>
      <c r="H19" s="20"/>
      <c r="I19" s="20"/>
      <c r="J19" s="20"/>
    </row>
    <row r="20" spans="1:10" s="20" customFormat="1">
      <c r="A20" s="9"/>
      <c r="B20" s="9"/>
      <c r="C20" s="9"/>
      <c r="D20" s="120"/>
      <c r="E20" s="25"/>
      <c r="F20" s="9"/>
    </row>
    <row r="21" spans="1:10" s="6" customFormat="1">
      <c r="A21" s="9"/>
      <c r="B21" s="9"/>
      <c r="C21" s="9"/>
      <c r="D21" s="120"/>
      <c r="E21" s="25"/>
      <c r="F21" s="9"/>
      <c r="H21" s="20"/>
      <c r="I21" s="20"/>
      <c r="J21" s="20"/>
    </row>
    <row r="22" spans="1:10" s="20" customFormat="1">
      <c r="A22" s="9"/>
      <c r="B22" s="9"/>
      <c r="C22" s="9"/>
      <c r="D22" s="120"/>
      <c r="E22" s="25"/>
      <c r="F22" s="9"/>
      <c r="I22" s="7"/>
    </row>
    <row r="23" spans="1:10" s="20" customFormat="1">
      <c r="A23" s="9"/>
      <c r="B23" s="9"/>
      <c r="C23" s="9"/>
      <c r="D23" s="120"/>
      <c r="E23" s="25"/>
      <c r="F23" s="9"/>
      <c r="I23" s="7"/>
      <c r="J23" s="7"/>
    </row>
    <row r="24" spans="1:10" s="20" customFormat="1">
      <c r="A24" s="9"/>
      <c r="B24" s="9"/>
      <c r="C24" s="9"/>
      <c r="D24" s="142"/>
      <c r="E24" s="25"/>
      <c r="F24" s="9"/>
      <c r="G24" s="31"/>
      <c r="H24" s="13"/>
    </row>
    <row r="25" spans="1:10" s="6" customFormat="1">
      <c r="A25" s="9"/>
      <c r="B25" s="9"/>
      <c r="C25" s="9"/>
      <c r="D25" s="120"/>
      <c r="E25" s="25"/>
      <c r="F25" s="9"/>
      <c r="H25" s="20"/>
      <c r="I25" s="20"/>
      <c r="J25" s="20"/>
    </row>
    <row r="26" spans="1:10">
      <c r="D26" s="95" t="s">
        <v>5</v>
      </c>
      <c r="E26" s="7">
        <f>SUM(E4:E25)</f>
        <v>3304</v>
      </c>
    </row>
    <row r="27" spans="1:10">
      <c r="A27" s="30"/>
      <c r="B27" s="13" t="s">
        <v>75</v>
      </c>
    </row>
    <row r="29" spans="1:10">
      <c r="A29" t="s">
        <v>259</v>
      </c>
      <c r="B29" s="20">
        <v>2</v>
      </c>
      <c r="C29" t="s">
        <v>257</v>
      </c>
      <c r="E29">
        <f>500*B29</f>
        <v>1000</v>
      </c>
      <c r="F29" t="s">
        <v>258</v>
      </c>
    </row>
    <row r="30" spans="1:10">
      <c r="A30" t="s">
        <v>247</v>
      </c>
    </row>
    <row r="31" spans="1:10">
      <c r="A31" s="165" t="s">
        <v>251</v>
      </c>
      <c r="B31" s="165"/>
      <c r="C31" s="165"/>
      <c r="D31" s="165"/>
      <c r="E31" s="52"/>
    </row>
    <row r="32" spans="1:10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1"/>
    </customSheetView>
    <customSheetView guid="{8C3311D4-BF6B-4714-8FEE-EF832EA44719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2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4"/>
  <sheetViews>
    <sheetView view="pageBreakPreview" zoomScale="70" zoomScaleNormal="85" zoomScaleSheetLayoutView="70" workbookViewId="0">
      <selection activeCell="C12" sqref="C12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17.625" customWidth="1"/>
  </cols>
  <sheetData>
    <row r="1" spans="1:6">
      <c r="A1" s="164" t="s">
        <v>290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6">
      <c r="A4" s="41" t="s">
        <v>363</v>
      </c>
      <c r="B4" s="42"/>
      <c r="C4" s="42" t="s">
        <v>370</v>
      </c>
      <c r="D4" s="42" t="s">
        <v>186</v>
      </c>
      <c r="E4" s="45">
        <v>1922</v>
      </c>
      <c r="F4" s="42"/>
    </row>
    <row r="5" spans="1:6" s="6" customFormat="1">
      <c r="A5" s="8" t="s">
        <v>364</v>
      </c>
      <c r="B5" s="21"/>
      <c r="C5" s="19" t="s">
        <v>371</v>
      </c>
      <c r="D5" s="19" t="s">
        <v>345</v>
      </c>
      <c r="E5" s="157"/>
      <c r="F5" s="19"/>
    </row>
    <row r="6" spans="1:6" s="20" customFormat="1">
      <c r="A6" s="58" t="s">
        <v>365</v>
      </c>
      <c r="B6" s="58"/>
      <c r="C6" s="19" t="s">
        <v>372</v>
      </c>
      <c r="D6" s="19"/>
      <c r="E6" s="157"/>
      <c r="F6" s="19"/>
    </row>
    <row r="7" spans="1:6" s="20" customFormat="1">
      <c r="A7" s="21" t="s">
        <v>366</v>
      </c>
      <c r="B7" s="21" t="s">
        <v>6</v>
      </c>
      <c r="C7" s="21" t="s">
        <v>359</v>
      </c>
      <c r="D7" s="21"/>
      <c r="E7" s="27"/>
      <c r="F7" s="21"/>
    </row>
    <row r="8" spans="1:6" s="20" customFormat="1">
      <c r="A8" s="21" t="s">
        <v>367</v>
      </c>
      <c r="B8" s="21"/>
      <c r="C8" s="21" t="s">
        <v>373</v>
      </c>
      <c r="D8" s="21" t="s">
        <v>186</v>
      </c>
      <c r="E8" s="27">
        <v>2030</v>
      </c>
      <c r="F8" s="21"/>
    </row>
    <row r="9" spans="1:6" s="6" customFormat="1">
      <c r="A9" s="8" t="s">
        <v>368</v>
      </c>
      <c r="B9" s="21"/>
      <c r="C9" s="8" t="s">
        <v>374</v>
      </c>
      <c r="D9" s="8" t="s">
        <v>186</v>
      </c>
      <c r="E9" s="27">
        <v>2138</v>
      </c>
      <c r="F9" s="8"/>
    </row>
    <row r="10" spans="1:6" s="6" customFormat="1">
      <c r="A10" s="8" t="s">
        <v>369</v>
      </c>
      <c r="B10" s="21" t="s">
        <v>6</v>
      </c>
      <c r="C10" s="8" t="s">
        <v>375</v>
      </c>
      <c r="D10" s="8"/>
      <c r="E10" s="27"/>
      <c r="F10" s="8"/>
    </row>
    <row r="11" spans="1:6" s="20" customFormat="1">
      <c r="A11" s="58" t="s">
        <v>356</v>
      </c>
      <c r="B11" s="58" t="s">
        <v>6</v>
      </c>
      <c r="C11" s="58" t="s">
        <v>361</v>
      </c>
      <c r="D11" s="58"/>
      <c r="E11" s="27"/>
      <c r="F11" s="58"/>
    </row>
    <row r="12" spans="1:6" s="20" customFormat="1">
      <c r="A12" s="58"/>
      <c r="B12" s="58"/>
      <c r="C12" s="58"/>
      <c r="D12" s="58"/>
      <c r="E12" s="27"/>
      <c r="F12" s="58"/>
    </row>
    <row r="13" spans="1:6" s="20" customFormat="1">
      <c r="A13" s="58"/>
      <c r="B13" s="58"/>
      <c r="C13" s="58"/>
      <c r="D13" s="58"/>
      <c r="E13" s="27"/>
      <c r="F13" s="58"/>
    </row>
    <row r="14" spans="1:6" s="20" customFormat="1">
      <c r="A14" s="58"/>
      <c r="B14" s="58"/>
      <c r="C14" s="58"/>
      <c r="D14" s="58"/>
      <c r="E14" s="27"/>
      <c r="F14" s="58"/>
    </row>
    <row r="15" spans="1:6" s="20" customFormat="1">
      <c r="A15" s="58"/>
      <c r="B15" s="58"/>
      <c r="C15" s="58"/>
      <c r="D15" s="58"/>
      <c r="E15" s="27"/>
      <c r="F15" s="58"/>
    </row>
    <row r="16" spans="1:6" s="20" customFormat="1">
      <c r="A16" s="58"/>
      <c r="B16" s="58"/>
      <c r="C16" s="58"/>
      <c r="D16" s="58"/>
      <c r="E16" s="27"/>
      <c r="F16" s="58"/>
    </row>
    <row r="17" spans="1:6" s="20" customFormat="1">
      <c r="A17" s="58"/>
      <c r="B17" s="58"/>
      <c r="C17" s="58"/>
      <c r="D17" s="58"/>
      <c r="E17" s="27"/>
      <c r="F17" s="58"/>
    </row>
    <row r="18" spans="1:6" s="20" customFormat="1">
      <c r="A18" s="58"/>
      <c r="B18" s="58"/>
      <c r="C18" s="58"/>
      <c r="D18" s="58"/>
      <c r="E18" s="27"/>
      <c r="F18" s="58"/>
    </row>
    <row r="19" spans="1:6" s="20" customFormat="1">
      <c r="A19" s="58"/>
      <c r="B19" s="58"/>
      <c r="C19" s="58"/>
      <c r="D19" s="58"/>
      <c r="E19" s="27"/>
      <c r="F19" s="58"/>
    </row>
    <row r="20" spans="1:6" s="20" customFormat="1">
      <c r="A20" s="58"/>
      <c r="B20" s="58"/>
      <c r="C20" s="58"/>
      <c r="D20" s="58"/>
      <c r="E20" s="27"/>
      <c r="F20" s="58"/>
    </row>
    <row r="21" spans="1:6" s="6" customFormat="1">
      <c r="A21" s="8"/>
      <c r="B21" s="21"/>
      <c r="C21" s="8"/>
      <c r="D21" s="8"/>
      <c r="E21" s="27"/>
      <c r="F21" s="8"/>
    </row>
    <row r="22" spans="1:6" s="6" customFormat="1">
      <c r="A22" s="8"/>
      <c r="B22" s="21"/>
      <c r="C22" s="8"/>
      <c r="D22" s="8"/>
      <c r="E22" s="27"/>
      <c r="F22" s="8"/>
    </row>
    <row r="23" spans="1:6" s="6" customFormat="1">
      <c r="A23" s="8"/>
      <c r="B23" s="21"/>
      <c r="C23" s="8"/>
      <c r="D23" s="8"/>
      <c r="E23" s="27"/>
      <c r="F23" s="8"/>
    </row>
    <row r="24" spans="1:6" s="20" customFormat="1">
      <c r="A24" s="21"/>
      <c r="B24" s="21"/>
      <c r="C24" s="21"/>
      <c r="D24" s="21"/>
      <c r="E24" s="27"/>
      <c r="F24" s="21"/>
    </row>
    <row r="25" spans="1:6" s="6" customFormat="1">
      <c r="A25" s="8"/>
      <c r="B25" s="21"/>
      <c r="C25" s="8"/>
      <c r="D25" s="8"/>
      <c r="E25" s="27"/>
      <c r="F25" s="8"/>
    </row>
    <row r="26" spans="1:6">
      <c r="D26" t="s">
        <v>5</v>
      </c>
      <c r="E26" s="28">
        <f>SUM(E4:E25)</f>
        <v>6090</v>
      </c>
    </row>
    <row r="29" spans="1:6">
      <c r="A29" t="s">
        <v>259</v>
      </c>
      <c r="B29" s="20">
        <v>2</v>
      </c>
      <c r="C29" t="s">
        <v>257</v>
      </c>
      <c r="E29">
        <f>500*B29</f>
        <v>1000</v>
      </c>
      <c r="F29" t="s">
        <v>258</v>
      </c>
    </row>
    <row r="30" spans="1:6">
      <c r="A30" t="s">
        <v>247</v>
      </c>
    </row>
    <row r="31" spans="1:6">
      <c r="A31" s="165" t="s">
        <v>251</v>
      </c>
      <c r="B31" s="165"/>
      <c r="C31" s="165"/>
      <c r="D31" s="165"/>
      <c r="E31" s="52"/>
    </row>
    <row r="32" spans="1:6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cale="70" showPageBreaks="1" printArea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4">
    <mergeCell ref="A31:D31"/>
    <mergeCell ref="A32:D32"/>
    <mergeCell ref="A33:D33"/>
    <mergeCell ref="A1:F1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4"/>
  <sheetViews>
    <sheetView view="pageBreakPreview" zoomScale="70" zoomScaleNormal="85" zoomScaleSheetLayoutView="70" workbookViewId="0">
      <selection activeCell="G12" sqref="G12"/>
    </sheetView>
  </sheetViews>
  <sheetFormatPr defaultRowHeight="13.5"/>
  <cols>
    <col min="1" max="1" width="24.125" bestFit="1" customWidth="1"/>
    <col min="2" max="2" width="9.125" style="20" customWidth="1"/>
    <col min="3" max="3" width="36.375" bestFit="1" customWidth="1"/>
    <col min="4" max="4" width="12.75" style="95" customWidth="1"/>
    <col min="5" max="5" width="11.125" customWidth="1"/>
    <col min="6" max="7" width="11.125" style="6" customWidth="1"/>
    <col min="8" max="8" width="9" bestFit="1" customWidth="1"/>
  </cols>
  <sheetData>
    <row r="1" spans="1:9">
      <c r="A1" s="164" t="s">
        <v>291</v>
      </c>
      <c r="B1" s="164"/>
      <c r="C1" s="164"/>
      <c r="D1" s="164"/>
      <c r="E1" s="164"/>
      <c r="F1" s="164"/>
      <c r="G1" s="164"/>
      <c r="H1" s="164"/>
    </row>
    <row r="2" spans="1:9">
      <c r="A2" s="36" t="s">
        <v>70</v>
      </c>
      <c r="B2" s="36"/>
    </row>
    <row r="3" spans="1:9">
      <c r="A3" s="167" t="s">
        <v>0</v>
      </c>
      <c r="B3" s="167" t="s">
        <v>73</v>
      </c>
      <c r="C3" s="167" t="s">
        <v>1</v>
      </c>
      <c r="D3" s="169" t="s">
        <v>2</v>
      </c>
      <c r="E3" s="167" t="s">
        <v>3</v>
      </c>
      <c r="F3" s="167" t="s">
        <v>15</v>
      </c>
      <c r="G3" s="167" t="s">
        <v>14</v>
      </c>
      <c r="H3" s="167" t="s">
        <v>4</v>
      </c>
      <c r="I3" s="166" t="s">
        <v>46</v>
      </c>
    </row>
    <row r="4" spans="1:9" s="6" customFormat="1">
      <c r="A4" s="168"/>
      <c r="B4" s="168"/>
      <c r="C4" s="168"/>
      <c r="D4" s="170"/>
      <c r="E4" s="168"/>
      <c r="F4" s="168"/>
      <c r="G4" s="168"/>
      <c r="H4" s="168"/>
      <c r="I4" s="166"/>
    </row>
    <row r="5" spans="1:9">
      <c r="A5" s="9" t="s">
        <v>388</v>
      </c>
      <c r="B5" s="9"/>
      <c r="C5" s="26"/>
      <c r="D5" s="120"/>
      <c r="E5" s="25"/>
      <c r="F5" s="106" t="s">
        <v>397</v>
      </c>
      <c r="G5" s="106" t="s">
        <v>397</v>
      </c>
      <c r="H5" s="9"/>
      <c r="I5" s="106"/>
    </row>
    <row r="6" spans="1:9" s="6" customFormat="1">
      <c r="A6" s="9" t="s">
        <v>389</v>
      </c>
      <c r="B6" s="9"/>
      <c r="C6" s="26"/>
      <c r="D6" s="120"/>
      <c r="E6" s="25"/>
      <c r="F6" s="106" t="s">
        <v>397</v>
      </c>
      <c r="G6" s="106" t="s">
        <v>397</v>
      </c>
      <c r="H6" s="9"/>
      <c r="I6" s="106"/>
    </row>
    <row r="7" spans="1:9" s="6" customFormat="1">
      <c r="A7" s="9" t="s">
        <v>334</v>
      </c>
      <c r="B7" s="9"/>
      <c r="C7" s="26"/>
      <c r="D7" s="120"/>
      <c r="E7" s="25"/>
      <c r="F7" s="153" t="s">
        <v>397</v>
      </c>
      <c r="G7" s="153" t="s">
        <v>397</v>
      </c>
      <c r="H7" s="9"/>
      <c r="I7" s="106"/>
    </row>
    <row r="8" spans="1:9" s="6" customFormat="1">
      <c r="A8" s="9" t="s">
        <v>376</v>
      </c>
      <c r="B8" s="9"/>
      <c r="C8" s="9"/>
      <c r="D8" s="120"/>
      <c r="E8" s="25"/>
      <c r="F8" s="106" t="s">
        <v>397</v>
      </c>
      <c r="G8" s="106" t="s">
        <v>397</v>
      </c>
      <c r="H8" s="29"/>
      <c r="I8" s="106"/>
    </row>
    <row r="9" spans="1:9" s="6" customFormat="1">
      <c r="A9" s="9" t="s">
        <v>333</v>
      </c>
      <c r="B9" s="9"/>
      <c r="C9" s="9"/>
      <c r="D9" s="120"/>
      <c r="E9" s="25"/>
      <c r="F9" s="106" t="s">
        <v>397</v>
      </c>
      <c r="G9" s="106" t="s">
        <v>397</v>
      </c>
      <c r="H9" s="9"/>
      <c r="I9" s="106"/>
    </row>
    <row r="10" spans="1:9" s="6" customFormat="1">
      <c r="A10" s="9" t="s">
        <v>390</v>
      </c>
      <c r="B10" s="9"/>
      <c r="C10" s="9"/>
      <c r="D10" s="120"/>
      <c r="E10" s="25"/>
      <c r="F10" s="106" t="s">
        <v>397</v>
      </c>
      <c r="G10" s="106" t="s">
        <v>397</v>
      </c>
      <c r="H10" s="9"/>
      <c r="I10" s="106"/>
    </row>
    <row r="11" spans="1:9" s="6" customFormat="1">
      <c r="A11" s="9" t="s">
        <v>391</v>
      </c>
      <c r="B11" s="9"/>
      <c r="C11" s="9"/>
      <c r="D11" s="120"/>
      <c r="E11" s="25"/>
      <c r="F11" s="106" t="s">
        <v>397</v>
      </c>
      <c r="G11" s="106"/>
      <c r="H11" s="9"/>
      <c r="I11" s="106"/>
    </row>
    <row r="12" spans="1:9" s="6" customFormat="1">
      <c r="A12" s="9" t="s">
        <v>396</v>
      </c>
      <c r="B12" s="9"/>
      <c r="C12" s="26"/>
      <c r="D12" s="120"/>
      <c r="E12" s="25"/>
      <c r="F12" s="106"/>
      <c r="G12" s="106" t="s">
        <v>397</v>
      </c>
      <c r="H12" s="9"/>
      <c r="I12" s="106"/>
    </row>
    <row r="13" spans="1:9" s="6" customFormat="1">
      <c r="A13" s="9" t="s">
        <v>393</v>
      </c>
      <c r="B13" s="9"/>
      <c r="C13" s="29"/>
      <c r="D13" s="120"/>
      <c r="E13" s="110"/>
      <c r="F13" s="106" t="s">
        <v>397</v>
      </c>
      <c r="G13" s="106" t="s">
        <v>397</v>
      </c>
      <c r="H13" s="144"/>
      <c r="I13" s="145"/>
    </row>
    <row r="14" spans="1:9" s="20" customFormat="1">
      <c r="A14" s="9" t="s">
        <v>394</v>
      </c>
      <c r="B14" s="9"/>
      <c r="C14" s="29"/>
      <c r="D14" s="120"/>
      <c r="E14" s="110"/>
      <c r="F14" s="146" t="s">
        <v>397</v>
      </c>
      <c r="G14" s="146" t="s">
        <v>397</v>
      </c>
      <c r="H14" s="144"/>
      <c r="I14" s="145"/>
    </row>
    <row r="15" spans="1:9" s="6" customFormat="1">
      <c r="A15" s="9" t="s">
        <v>395</v>
      </c>
      <c r="B15" s="9"/>
      <c r="C15" s="29"/>
      <c r="D15" s="120"/>
      <c r="E15" s="110"/>
      <c r="F15" s="146" t="s">
        <v>397</v>
      </c>
      <c r="G15" s="146" t="s">
        <v>397</v>
      </c>
      <c r="H15" s="144"/>
      <c r="I15" s="145"/>
    </row>
    <row r="16" spans="1:9" s="20" customFormat="1">
      <c r="A16" s="9" t="s">
        <v>392</v>
      </c>
      <c r="B16" s="9"/>
      <c r="C16" s="147"/>
      <c r="D16" s="148"/>
      <c r="E16" s="149"/>
      <c r="F16" s="106" t="s">
        <v>397</v>
      </c>
      <c r="G16" s="106" t="s">
        <v>397</v>
      </c>
      <c r="H16" s="144"/>
      <c r="I16" s="145"/>
    </row>
    <row r="17" spans="1:9" s="6" customFormat="1">
      <c r="A17" s="9"/>
      <c r="B17" s="9"/>
      <c r="C17" s="26"/>
      <c r="D17" s="120"/>
      <c r="E17" s="25"/>
      <c r="F17" s="106"/>
      <c r="G17" s="106"/>
      <c r="H17" s="9"/>
      <c r="I17" s="106"/>
    </row>
    <row r="18" spans="1:9" s="20" customFormat="1">
      <c r="A18" s="9"/>
      <c r="B18" s="9"/>
      <c r="C18" s="9"/>
      <c r="D18" s="120"/>
      <c r="E18" s="25"/>
      <c r="F18" s="106"/>
      <c r="G18" s="106"/>
      <c r="H18" s="9"/>
      <c r="I18" s="9"/>
    </row>
    <row r="19" spans="1:9" s="20" customFormat="1">
      <c r="A19" s="9"/>
      <c r="B19" s="9"/>
      <c r="C19" s="9"/>
      <c r="D19" s="120"/>
      <c r="E19" s="25"/>
      <c r="F19" s="25"/>
      <c r="G19" s="25"/>
      <c r="H19" s="9"/>
      <c r="I19" s="9"/>
    </row>
    <row r="20" spans="1:9" s="20" customFormat="1">
      <c r="A20" s="9"/>
      <c r="B20" s="9"/>
      <c r="C20" s="9"/>
      <c r="D20" s="120"/>
      <c r="E20" s="25"/>
      <c r="F20" s="25"/>
      <c r="G20" s="25"/>
      <c r="H20" s="9"/>
      <c r="I20" s="9"/>
    </row>
    <row r="21" spans="1:9" s="20" customFormat="1">
      <c r="A21" s="9"/>
      <c r="B21" s="9"/>
      <c r="C21" s="9"/>
      <c r="D21" s="120"/>
      <c r="E21" s="25"/>
      <c r="F21" s="106"/>
      <c r="G21" s="106"/>
      <c r="H21" s="9"/>
      <c r="I21" s="9"/>
    </row>
    <row r="22" spans="1:9" s="20" customFormat="1">
      <c r="A22" s="9"/>
      <c r="B22" s="9"/>
      <c r="C22" s="9"/>
      <c r="D22" s="120"/>
      <c r="E22" s="25"/>
      <c r="F22" s="25"/>
      <c r="G22" s="25"/>
      <c r="H22" s="9"/>
      <c r="I22" s="9"/>
    </row>
    <row r="23" spans="1:9" s="20" customFormat="1">
      <c r="A23" s="9"/>
      <c r="B23" s="9"/>
      <c r="C23" s="9"/>
      <c r="D23" s="120"/>
      <c r="E23" s="25"/>
      <c r="F23" s="25"/>
      <c r="G23" s="25"/>
      <c r="H23" s="9"/>
      <c r="I23" s="9"/>
    </row>
    <row r="24" spans="1:9">
      <c r="A24" s="9"/>
      <c r="B24" s="9"/>
      <c r="C24" s="9"/>
      <c r="D24" s="120"/>
      <c r="E24" s="25"/>
      <c r="F24" s="25"/>
      <c r="G24" s="25"/>
      <c r="H24" s="9"/>
      <c r="I24" s="9"/>
    </row>
    <row r="25" spans="1:9">
      <c r="A25" s="6"/>
      <c r="C25" s="6"/>
      <c r="D25" s="95" t="s">
        <v>5</v>
      </c>
      <c r="E25" s="126">
        <f>SUM(E5:E24)</f>
        <v>0</v>
      </c>
      <c r="F25" s="116">
        <f>SUMIF(F5:F24,"○",$E$5:$E$24)</f>
        <v>0</v>
      </c>
      <c r="G25" s="116">
        <f>SUMIF(G5:G24,"○",$E$5:$E$24)</f>
        <v>0</v>
      </c>
      <c r="H25" s="6"/>
    </row>
    <row r="29" spans="1:9">
      <c r="A29" t="s">
        <v>259</v>
      </c>
      <c r="C29" t="s">
        <v>257</v>
      </c>
      <c r="E29">
        <f>500*B29</f>
        <v>0</v>
      </c>
      <c r="F29" s="6" t="s">
        <v>258</v>
      </c>
    </row>
    <row r="30" spans="1:9">
      <c r="A30" t="s">
        <v>247</v>
      </c>
    </row>
    <row r="31" spans="1:9">
      <c r="A31" s="165" t="s">
        <v>250</v>
      </c>
      <c r="B31" s="165"/>
      <c r="C31" s="165"/>
      <c r="D31" s="165"/>
      <c r="E31" s="52">
        <v>5500</v>
      </c>
    </row>
    <row r="32" spans="1:9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5500</v>
      </c>
    </row>
  </sheetData>
  <customSheetViews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cale="70" showPageBreaks="1" fitToPage="1" view="pageBreakPreview">
      <selection activeCell="B3" sqref="B3:B4"/>
      <pageMargins left="0.70866141732283472" right="0.70866141732283472" top="0.74803149606299213" bottom="0.74803149606299213" header="0.31496062992125984" footer="0.31496062992125984"/>
      <pageSetup paperSize="9" orientation="landscape" r:id="rId2"/>
    </customSheetView>
  </customSheetViews>
  <mergeCells count="13">
    <mergeCell ref="A31:D31"/>
    <mergeCell ref="A32:D32"/>
    <mergeCell ref="A33:D33"/>
    <mergeCell ref="I3:I4"/>
    <mergeCell ref="A1:H1"/>
    <mergeCell ref="E3:E4"/>
    <mergeCell ref="D3:D4"/>
    <mergeCell ref="C3:C4"/>
    <mergeCell ref="A3:A4"/>
    <mergeCell ref="F3:F4"/>
    <mergeCell ref="G3:G4"/>
    <mergeCell ref="H3:H4"/>
    <mergeCell ref="B3:B4"/>
  </mergeCells>
  <phoneticPr fontId="1"/>
  <conditionalFormatting sqref="A5:I24">
    <cfRule type="expression" dxfId="3" priority="1">
      <formula>$B5="不要"</formula>
    </cfRule>
  </conditionalFormatting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32"/>
  <sheetViews>
    <sheetView view="pageBreakPreview" zoomScale="85" zoomScaleNormal="85" zoomScaleSheetLayoutView="85" workbookViewId="0">
      <selection activeCell="A19" sqref="A19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41.125" style="95" customWidth="1"/>
    <col min="4" max="4" width="18.375" style="20" customWidth="1"/>
    <col min="5" max="5" width="11.125" style="20" customWidth="1"/>
    <col min="6" max="6" width="12.125" style="20" customWidth="1"/>
    <col min="7" max="7" width="12.125" style="20" hidden="1" customWidth="1" outlineLevel="1"/>
    <col min="8" max="8" width="12.125" style="20" customWidth="1" collapsed="1"/>
    <col min="9" max="9" width="8.625" style="20" hidden="1" customWidth="1" outlineLevel="1"/>
    <col min="10" max="13" width="11.125" style="20" hidden="1" customWidth="1" outlineLevel="1"/>
    <col min="14" max="14" width="12.625" style="20" customWidth="1" collapsed="1"/>
    <col min="15" max="15" width="9" style="20"/>
    <col min="16" max="16" width="24.5" style="20" customWidth="1"/>
    <col min="17" max="16384" width="9" style="20"/>
  </cols>
  <sheetData>
    <row r="1" spans="1:16">
      <c r="A1" s="164" t="s">
        <v>292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</row>
    <row r="2" spans="1:16">
      <c r="A2" s="36" t="s">
        <v>70</v>
      </c>
      <c r="B2" s="36"/>
    </row>
    <row r="3" spans="1:16">
      <c r="A3" s="167" t="s">
        <v>0</v>
      </c>
      <c r="B3" s="38" t="s">
        <v>73</v>
      </c>
      <c r="C3" s="169" t="s">
        <v>1</v>
      </c>
      <c r="D3" s="167" t="s">
        <v>2</v>
      </c>
      <c r="E3" s="167" t="s">
        <v>3</v>
      </c>
      <c r="F3" s="173" t="s">
        <v>234</v>
      </c>
      <c r="G3" s="173"/>
      <c r="H3" s="173" t="s">
        <v>236</v>
      </c>
      <c r="I3" s="173"/>
      <c r="J3" s="171" t="s">
        <v>15</v>
      </c>
      <c r="K3" s="172"/>
      <c r="L3" s="171" t="s">
        <v>14</v>
      </c>
      <c r="M3" s="172"/>
      <c r="N3" s="2" t="s">
        <v>4</v>
      </c>
      <c r="O3" s="166" t="s">
        <v>46</v>
      </c>
    </row>
    <row r="4" spans="1:16">
      <c r="A4" s="168"/>
      <c r="B4" s="39"/>
      <c r="C4" s="170"/>
      <c r="D4" s="168"/>
      <c r="E4" s="168"/>
      <c r="F4" s="105"/>
      <c r="G4" s="105"/>
      <c r="H4" s="105"/>
      <c r="I4" s="105" t="s">
        <v>235</v>
      </c>
      <c r="J4" s="2" t="s">
        <v>12</v>
      </c>
      <c r="K4" s="2" t="s">
        <v>13</v>
      </c>
      <c r="L4" s="2" t="s">
        <v>12</v>
      </c>
      <c r="M4" s="2" t="s">
        <v>13</v>
      </c>
      <c r="N4" s="2"/>
      <c r="O4" s="166"/>
    </row>
    <row r="5" spans="1:16">
      <c r="A5" s="150" t="s">
        <v>295</v>
      </c>
      <c r="B5" s="58" t="s">
        <v>296</v>
      </c>
      <c r="C5" s="17" t="s">
        <v>298</v>
      </c>
      <c r="D5" s="58" t="s">
        <v>297</v>
      </c>
      <c r="E5" s="23">
        <v>1815</v>
      </c>
      <c r="F5" s="152" t="s">
        <v>299</v>
      </c>
      <c r="G5" s="152" t="s">
        <v>299</v>
      </c>
      <c r="H5" s="152"/>
      <c r="I5" s="152"/>
      <c r="J5" s="152" t="s">
        <v>299</v>
      </c>
      <c r="K5" s="152" t="s">
        <v>299</v>
      </c>
      <c r="L5" s="152"/>
      <c r="M5" s="152"/>
      <c r="N5" s="151"/>
      <c r="O5" s="153" t="s">
        <v>300</v>
      </c>
    </row>
    <row r="6" spans="1:16">
      <c r="A6" s="110" t="s">
        <v>310</v>
      </c>
      <c r="B6" s="58" t="s">
        <v>296</v>
      </c>
      <c r="C6" s="17" t="s">
        <v>311</v>
      </c>
      <c r="D6" s="58" t="s">
        <v>313</v>
      </c>
      <c r="E6" s="23">
        <v>2592</v>
      </c>
      <c r="F6" s="152" t="s">
        <v>299</v>
      </c>
      <c r="G6" s="152" t="s">
        <v>299</v>
      </c>
      <c r="H6" s="152"/>
      <c r="I6" s="152" t="s">
        <v>299</v>
      </c>
      <c r="J6" s="18"/>
      <c r="K6" s="18"/>
      <c r="L6" s="18"/>
      <c r="M6" s="18"/>
      <c r="N6" s="58"/>
      <c r="O6" s="153" t="s">
        <v>300</v>
      </c>
      <c r="P6" s="101"/>
    </row>
    <row r="7" spans="1:16">
      <c r="A7" s="58" t="s">
        <v>339</v>
      </c>
      <c r="B7" s="58"/>
      <c r="C7" s="120"/>
      <c r="D7" s="9"/>
      <c r="E7" s="25"/>
      <c r="F7" s="106"/>
      <c r="G7" s="106"/>
      <c r="H7" s="106" t="s">
        <v>397</v>
      </c>
      <c r="I7" s="106"/>
      <c r="J7" s="18"/>
      <c r="K7" s="18"/>
      <c r="L7" s="18"/>
      <c r="M7" s="18"/>
      <c r="N7" s="57"/>
      <c r="O7" s="106"/>
    </row>
    <row r="8" spans="1:16">
      <c r="A8" s="133" t="s">
        <v>363</v>
      </c>
      <c r="B8" s="58"/>
      <c r="C8" s="121"/>
      <c r="D8" s="58"/>
      <c r="E8" s="23"/>
      <c r="F8" s="18"/>
      <c r="G8" s="18"/>
      <c r="H8" s="18" t="s">
        <v>397</v>
      </c>
      <c r="I8" s="18"/>
      <c r="J8" s="18"/>
      <c r="K8" s="18"/>
      <c r="L8" s="18"/>
      <c r="M8" s="18"/>
      <c r="N8" s="58"/>
      <c r="O8" s="106"/>
      <c r="P8" s="112"/>
    </row>
    <row r="9" spans="1:16">
      <c r="A9" s="58" t="s">
        <v>398</v>
      </c>
      <c r="B9" s="58"/>
      <c r="C9" s="17"/>
      <c r="D9" s="58"/>
      <c r="E9" s="23"/>
      <c r="F9" s="18"/>
      <c r="G9" s="18"/>
      <c r="H9" s="18" t="s">
        <v>397</v>
      </c>
      <c r="I9" s="18"/>
      <c r="J9" s="18"/>
      <c r="K9" s="18"/>
      <c r="L9" s="18"/>
      <c r="M9" s="18"/>
      <c r="N9" s="58"/>
      <c r="O9" s="106"/>
      <c r="P9" s="111"/>
    </row>
    <row r="10" spans="1:16">
      <c r="A10" s="161" t="s">
        <v>404</v>
      </c>
      <c r="B10" s="58"/>
      <c r="C10" s="17"/>
      <c r="D10" s="58"/>
      <c r="E10" s="23"/>
      <c r="F10" s="18" t="s">
        <v>397</v>
      </c>
      <c r="G10" s="18"/>
      <c r="H10" s="18"/>
      <c r="I10" s="18"/>
      <c r="J10" s="18"/>
      <c r="K10" s="18"/>
      <c r="L10" s="18"/>
      <c r="M10" s="18"/>
      <c r="N10" s="19"/>
      <c r="O10" s="34"/>
    </row>
    <row r="11" spans="1:16">
      <c r="A11" s="58" t="s">
        <v>399</v>
      </c>
      <c r="B11" s="58"/>
      <c r="C11" s="17"/>
      <c r="D11" s="58"/>
      <c r="E11" s="23"/>
      <c r="F11" s="18"/>
      <c r="G11" s="18"/>
      <c r="H11" s="18" t="s">
        <v>397</v>
      </c>
      <c r="I11" s="18"/>
      <c r="J11" s="18"/>
      <c r="K11" s="18"/>
      <c r="L11" s="18"/>
      <c r="M11" s="18"/>
      <c r="N11" s="19"/>
      <c r="O11" s="34"/>
    </row>
    <row r="12" spans="1:16" ht="13.5" customHeight="1">
      <c r="A12" s="58" t="s">
        <v>400</v>
      </c>
      <c r="B12" s="58"/>
      <c r="C12" s="17"/>
      <c r="D12" s="19"/>
      <c r="E12" s="107"/>
      <c r="F12" s="18" t="s">
        <v>397</v>
      </c>
      <c r="G12" s="18" t="s">
        <v>397</v>
      </c>
      <c r="H12" s="18" t="s">
        <v>397</v>
      </c>
      <c r="I12" s="18"/>
      <c r="J12" s="18"/>
      <c r="K12" s="18"/>
      <c r="L12" s="18"/>
      <c r="M12" s="18"/>
      <c r="N12" s="19"/>
      <c r="O12" s="110"/>
    </row>
    <row r="13" spans="1:16">
      <c r="A13" s="58" t="s">
        <v>401</v>
      </c>
      <c r="B13" s="58"/>
      <c r="C13" s="17"/>
      <c r="D13" s="58"/>
      <c r="E13" s="23"/>
      <c r="F13" s="152" t="s">
        <v>397</v>
      </c>
      <c r="G13" s="152" t="s">
        <v>397</v>
      </c>
      <c r="H13" s="152" t="s">
        <v>397</v>
      </c>
      <c r="I13" s="18"/>
      <c r="J13" s="18"/>
      <c r="K13" s="18"/>
      <c r="L13" s="18"/>
      <c r="M13" s="18"/>
      <c r="N13" s="19"/>
      <c r="O13" s="110"/>
    </row>
    <row r="14" spans="1:16">
      <c r="A14" s="58" t="s">
        <v>402</v>
      </c>
      <c r="B14" s="58"/>
      <c r="C14" s="17"/>
      <c r="D14" s="58"/>
      <c r="E14" s="23"/>
      <c r="F14" s="152" t="s">
        <v>397</v>
      </c>
      <c r="G14" s="152" t="s">
        <v>397</v>
      </c>
      <c r="H14" s="152" t="s">
        <v>397</v>
      </c>
      <c r="I14" s="18"/>
      <c r="J14" s="18"/>
      <c r="K14" s="18"/>
      <c r="L14" s="18"/>
      <c r="M14" s="18"/>
      <c r="N14" s="58"/>
      <c r="O14" s="34"/>
    </row>
    <row r="15" spans="1:16">
      <c r="A15" s="58" t="s">
        <v>403</v>
      </c>
      <c r="B15" s="58"/>
      <c r="C15" s="17"/>
      <c r="D15" s="19"/>
      <c r="E15" s="107"/>
      <c r="F15" s="152" t="s">
        <v>397</v>
      </c>
      <c r="G15" s="152" t="s">
        <v>397</v>
      </c>
      <c r="H15" s="152" t="s">
        <v>397</v>
      </c>
      <c r="I15" s="18"/>
      <c r="J15" s="18"/>
      <c r="K15" s="18"/>
      <c r="L15" s="18"/>
      <c r="M15" s="18"/>
      <c r="N15" s="19"/>
      <c r="O15" s="110"/>
    </row>
    <row r="16" spans="1:16">
      <c r="A16" s="161" t="s">
        <v>389</v>
      </c>
      <c r="B16" s="58"/>
      <c r="C16" s="17"/>
      <c r="D16" s="58"/>
      <c r="E16" s="23"/>
      <c r="F16" s="152" t="s">
        <v>397</v>
      </c>
      <c r="G16" s="152"/>
      <c r="H16" s="152"/>
      <c r="I16" s="18"/>
      <c r="J16" s="18"/>
      <c r="K16" s="18"/>
      <c r="L16" s="18"/>
      <c r="M16" s="18"/>
      <c r="N16" s="58"/>
      <c r="O16" s="34"/>
    </row>
    <row r="17" spans="1:15">
      <c r="A17" s="161" t="s">
        <v>405</v>
      </c>
      <c r="B17" s="58"/>
      <c r="C17" s="17"/>
      <c r="D17" s="58"/>
      <c r="E17" s="23"/>
      <c r="F17" s="152" t="s">
        <v>397</v>
      </c>
      <c r="G17" s="152"/>
      <c r="H17" s="152"/>
      <c r="I17" s="18"/>
      <c r="J17" s="18"/>
      <c r="K17" s="18"/>
      <c r="L17" s="18"/>
      <c r="M17" s="18"/>
      <c r="N17" s="58"/>
      <c r="O17" s="34"/>
    </row>
    <row r="18" spans="1:15">
      <c r="A18" s="161" t="s">
        <v>406</v>
      </c>
      <c r="B18" s="58"/>
      <c r="C18" s="17"/>
      <c r="D18" s="58"/>
      <c r="E18" s="23"/>
      <c r="F18" s="152" t="s">
        <v>397</v>
      </c>
      <c r="G18" s="152"/>
      <c r="H18" s="152" t="s">
        <v>397</v>
      </c>
      <c r="I18" s="18"/>
      <c r="J18" s="18"/>
      <c r="K18" s="18"/>
      <c r="L18" s="18"/>
      <c r="M18" s="18"/>
      <c r="N18" s="58"/>
      <c r="O18" s="34"/>
    </row>
    <row r="19" spans="1:15">
      <c r="A19" s="161"/>
      <c r="B19" s="58"/>
      <c r="C19" s="17"/>
      <c r="D19" s="58"/>
      <c r="E19" s="23"/>
      <c r="F19" s="23"/>
      <c r="G19" s="18"/>
      <c r="H19" s="23"/>
      <c r="I19" s="18"/>
      <c r="J19" s="18"/>
      <c r="K19" s="18"/>
      <c r="L19" s="18"/>
      <c r="M19" s="18"/>
      <c r="N19" s="58"/>
      <c r="O19" s="34"/>
    </row>
    <row r="20" spans="1:15">
      <c r="A20" s="161"/>
      <c r="B20" s="58"/>
      <c r="C20" s="17"/>
      <c r="D20" s="58"/>
      <c r="E20" s="23"/>
      <c r="F20" s="18"/>
      <c r="G20" s="18"/>
      <c r="H20" s="18"/>
      <c r="I20" s="18"/>
      <c r="J20" s="18"/>
      <c r="K20" s="18"/>
      <c r="L20" s="18"/>
      <c r="M20" s="18"/>
      <c r="N20" s="58"/>
      <c r="O20" s="34"/>
    </row>
    <row r="21" spans="1:15">
      <c r="A21" s="9"/>
      <c r="B21" s="58"/>
      <c r="C21" s="17"/>
      <c r="D21" s="58"/>
      <c r="E21" s="23"/>
      <c r="F21" s="23"/>
      <c r="G21" s="18"/>
      <c r="H21" s="23"/>
      <c r="I21" s="18"/>
      <c r="J21" s="18"/>
      <c r="K21" s="18"/>
      <c r="L21" s="18"/>
      <c r="M21" s="18"/>
      <c r="N21" s="58"/>
      <c r="O21" s="34"/>
    </row>
    <row r="22" spans="1:15">
      <c r="A22" s="9"/>
      <c r="B22" s="58"/>
      <c r="C22" s="17"/>
      <c r="D22" s="58"/>
      <c r="E22" s="23"/>
      <c r="F22" s="23"/>
      <c r="G22" s="18"/>
      <c r="H22" s="23"/>
      <c r="I22" s="18"/>
      <c r="J22" s="18"/>
      <c r="K22" s="18"/>
      <c r="L22" s="18"/>
      <c r="M22" s="18"/>
      <c r="N22" s="58"/>
      <c r="O22" s="34"/>
    </row>
    <row r="23" spans="1:15">
      <c r="A23" s="9"/>
      <c r="B23" s="58"/>
      <c r="C23" s="17"/>
      <c r="D23" s="58"/>
      <c r="E23" s="23"/>
      <c r="F23" s="23"/>
      <c r="G23" s="18"/>
      <c r="H23" s="23"/>
      <c r="I23" s="18"/>
      <c r="J23" s="18"/>
      <c r="K23" s="18"/>
      <c r="L23" s="18"/>
      <c r="M23" s="18"/>
      <c r="N23" s="58"/>
      <c r="O23" s="34"/>
    </row>
    <row r="24" spans="1:15">
      <c r="A24" s="9"/>
      <c r="B24" s="58"/>
      <c r="C24" s="17"/>
      <c r="D24" s="58"/>
      <c r="E24" s="23"/>
      <c r="F24" s="23"/>
      <c r="G24" s="23"/>
      <c r="H24" s="23"/>
      <c r="I24" s="23"/>
      <c r="J24" s="18"/>
      <c r="K24" s="18"/>
      <c r="L24" s="18"/>
      <c r="M24" s="18"/>
      <c r="N24" s="58"/>
      <c r="O24" s="34"/>
    </row>
    <row r="25" spans="1:15">
      <c r="D25" s="20" t="s">
        <v>5</v>
      </c>
      <c r="E25" s="125">
        <f>SUM(E5:E24)</f>
        <v>4407</v>
      </c>
      <c r="F25" s="7">
        <f t="shared" ref="F25:M25" si="0">SUMIF(F5:F24,"○",$E$5:$E$24)</f>
        <v>4407</v>
      </c>
      <c r="G25" s="7">
        <f t="shared" si="0"/>
        <v>4407</v>
      </c>
      <c r="H25" s="7">
        <f t="shared" si="0"/>
        <v>0</v>
      </c>
      <c r="I25" s="7">
        <f t="shared" si="0"/>
        <v>2592</v>
      </c>
      <c r="J25" s="7">
        <f t="shared" si="0"/>
        <v>1815</v>
      </c>
      <c r="K25" s="7">
        <f t="shared" si="0"/>
        <v>1815</v>
      </c>
      <c r="L25" s="7">
        <f t="shared" si="0"/>
        <v>0</v>
      </c>
      <c r="M25" s="7">
        <f t="shared" si="0"/>
        <v>0</v>
      </c>
    </row>
    <row r="27" spans="1:15">
      <c r="A27" s="20" t="s">
        <v>259</v>
      </c>
      <c r="B27" s="20">
        <v>1</v>
      </c>
      <c r="C27" s="95" t="s">
        <v>257</v>
      </c>
      <c r="E27" s="20">
        <f>500*B27</f>
        <v>500</v>
      </c>
      <c r="F27" s="20" t="s">
        <v>258</v>
      </c>
    </row>
    <row r="28" spans="1:15">
      <c r="A28" s="20" t="s">
        <v>247</v>
      </c>
    </row>
    <row r="29" spans="1:15">
      <c r="A29" s="165" t="s">
        <v>250</v>
      </c>
      <c r="B29" s="165"/>
      <c r="C29" s="165"/>
      <c r="D29" s="165"/>
      <c r="E29" s="52">
        <v>11000</v>
      </c>
    </row>
    <row r="30" spans="1:15">
      <c r="A30" s="165"/>
      <c r="B30" s="165"/>
      <c r="C30" s="165"/>
      <c r="D30" s="165"/>
      <c r="E30" s="52"/>
    </row>
    <row r="31" spans="1:15">
      <c r="A31" s="165"/>
      <c r="B31" s="165"/>
      <c r="C31" s="165"/>
      <c r="D31" s="165"/>
      <c r="E31" s="52"/>
    </row>
    <row r="32" spans="1:15">
      <c r="E32" s="101">
        <f>SUM(E29:E31)</f>
        <v>11000</v>
      </c>
    </row>
  </sheetData>
  <customSheetViews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1"/>
    </customSheetView>
    <customSheetView guid="{8C3311D4-BF6B-4714-8FEE-EF832EA44719}" scale="85" showPageBreaks="1" fitToPage="1" printArea="1" hiddenColumns="1" view="pageBreakPreview">
      <selection activeCell="A5" sqref="A5:O6"/>
      <pageMargins left="0.31496062992125984" right="0.31496062992125984" top="0.74803149606299213" bottom="0.74803149606299213" header="0.31496062992125984" footer="0.31496062992125984"/>
      <pageSetup paperSize="9" scale="92" orientation="landscape" r:id="rId2"/>
    </customSheetView>
  </customSheetViews>
  <mergeCells count="13">
    <mergeCell ref="A29:D29"/>
    <mergeCell ref="A30:D30"/>
    <mergeCell ref="A31:D31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</mergeCells>
  <phoneticPr fontId="1"/>
  <conditionalFormatting sqref="A5:O24">
    <cfRule type="expression" dxfId="2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4"/>
  <sheetViews>
    <sheetView view="pageBreakPreview" zoomScale="70" zoomScaleNormal="70" zoomScaleSheetLayoutView="70" workbookViewId="0">
      <selection activeCell="B5" sqref="B5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36.375" style="20" bestFit="1" customWidth="1"/>
    <col min="4" max="4" width="18.375" style="20" bestFit="1" customWidth="1"/>
    <col min="5" max="5" width="11.125" style="20" customWidth="1"/>
    <col min="6" max="6" width="11.125" style="20" hidden="1" customWidth="1" outlineLevel="1"/>
    <col min="7" max="7" width="11.125" style="20" customWidth="1" collapsed="1"/>
    <col min="8" max="8" width="11.125" style="20" hidden="1" customWidth="1" outlineLevel="1"/>
    <col min="9" max="9" width="11.125" style="20" customWidth="1" collapsed="1"/>
    <col min="10" max="10" width="9" style="20" bestFit="1" customWidth="1"/>
    <col min="11" max="11" width="9" style="20"/>
    <col min="12" max="12" width="40.875" style="20" customWidth="1"/>
    <col min="13" max="16384" width="9" style="20"/>
  </cols>
  <sheetData>
    <row r="1" spans="1:12">
      <c r="A1" s="164" t="s">
        <v>293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>
      <c r="A2" s="36" t="s">
        <v>70</v>
      </c>
      <c r="B2" s="36"/>
    </row>
    <row r="3" spans="1:12">
      <c r="A3" s="167" t="s">
        <v>0</v>
      </c>
      <c r="B3" s="38" t="s">
        <v>73</v>
      </c>
      <c r="C3" s="167" t="s">
        <v>1</v>
      </c>
      <c r="D3" s="167" t="s">
        <v>2</v>
      </c>
      <c r="E3" s="167" t="s">
        <v>3</v>
      </c>
      <c r="F3" s="171" t="s">
        <v>15</v>
      </c>
      <c r="G3" s="172"/>
      <c r="H3" s="171" t="s">
        <v>14</v>
      </c>
      <c r="I3" s="172"/>
      <c r="J3" s="2" t="s">
        <v>4</v>
      </c>
      <c r="K3" s="166" t="s">
        <v>46</v>
      </c>
      <c r="L3" s="166" t="s">
        <v>4</v>
      </c>
    </row>
    <row r="4" spans="1:12">
      <c r="A4" s="168"/>
      <c r="B4" s="39"/>
      <c r="C4" s="168"/>
      <c r="D4" s="168"/>
      <c r="E4" s="168"/>
      <c r="F4" s="2" t="s">
        <v>12</v>
      </c>
      <c r="G4" s="2" t="s">
        <v>13</v>
      </c>
      <c r="H4" s="2" t="s">
        <v>12</v>
      </c>
      <c r="I4" s="2" t="s">
        <v>13</v>
      </c>
      <c r="J4" s="2"/>
      <c r="K4" s="166"/>
      <c r="L4" s="166"/>
    </row>
    <row r="5" spans="1:12">
      <c r="A5" s="9" t="s">
        <v>414</v>
      </c>
      <c r="B5" s="21"/>
      <c r="C5" s="161"/>
      <c r="D5" s="21"/>
      <c r="E5" s="23"/>
      <c r="F5" s="23"/>
      <c r="G5" s="152" t="s">
        <v>397</v>
      </c>
      <c r="H5" s="152"/>
      <c r="I5" s="152"/>
      <c r="J5" s="21"/>
      <c r="K5" s="34"/>
      <c r="L5" s="58"/>
    </row>
    <row r="6" spans="1:12">
      <c r="A6" s="21" t="s">
        <v>399</v>
      </c>
      <c r="B6" s="21"/>
      <c r="C6" s="161"/>
      <c r="D6" s="161"/>
      <c r="E6" s="23"/>
      <c r="F6" s="23"/>
      <c r="G6" s="152" t="s">
        <v>397</v>
      </c>
      <c r="H6" s="152"/>
      <c r="I6" s="152"/>
      <c r="J6" s="161"/>
      <c r="K6" s="34"/>
      <c r="L6" s="58"/>
    </row>
    <row r="7" spans="1:12">
      <c r="A7" s="21" t="s">
        <v>416</v>
      </c>
      <c r="B7" s="21"/>
      <c r="C7" s="161"/>
      <c r="D7" s="161"/>
      <c r="E7" s="23"/>
      <c r="F7" s="23"/>
      <c r="G7" s="152" t="s">
        <v>397</v>
      </c>
      <c r="H7" s="152"/>
      <c r="I7" s="152" t="s">
        <v>417</v>
      </c>
      <c r="J7" s="21"/>
      <c r="K7" s="34"/>
      <c r="L7" s="161"/>
    </row>
    <row r="8" spans="1:12">
      <c r="A8" s="21" t="s">
        <v>407</v>
      </c>
      <c r="B8" s="21"/>
      <c r="C8" s="19"/>
      <c r="D8" s="21"/>
      <c r="E8" s="23"/>
      <c r="F8" s="152"/>
      <c r="G8" s="152"/>
      <c r="H8" s="152"/>
      <c r="I8" s="152" t="s">
        <v>413</v>
      </c>
      <c r="J8" s="58"/>
      <c r="K8" s="34"/>
      <c r="L8" s="58"/>
    </row>
    <row r="9" spans="1:12">
      <c r="A9" s="21" t="s">
        <v>412</v>
      </c>
      <c r="B9" s="21"/>
      <c r="C9" s="161"/>
      <c r="D9" s="21"/>
      <c r="E9" s="23"/>
      <c r="F9" s="23"/>
      <c r="G9" s="152" t="s">
        <v>397</v>
      </c>
      <c r="H9" s="152"/>
      <c r="I9" s="152" t="s">
        <v>418</v>
      </c>
      <c r="J9" s="58"/>
      <c r="K9" s="34"/>
      <c r="L9" s="58"/>
    </row>
    <row r="10" spans="1:12">
      <c r="A10" s="21" t="s">
        <v>415</v>
      </c>
      <c r="B10" s="21"/>
      <c r="C10" s="21"/>
      <c r="D10" s="21"/>
      <c r="E10" s="23"/>
      <c r="F10" s="23"/>
      <c r="G10" s="152" t="s">
        <v>397</v>
      </c>
      <c r="H10" s="152"/>
      <c r="I10" s="152"/>
      <c r="J10" s="21"/>
      <c r="K10" s="34"/>
      <c r="L10" s="58"/>
    </row>
    <row r="11" spans="1:12">
      <c r="A11" s="9" t="s">
        <v>411</v>
      </c>
      <c r="B11" s="58"/>
      <c r="C11" s="58"/>
      <c r="D11" s="58"/>
      <c r="E11" s="23"/>
      <c r="F11" s="23"/>
      <c r="G11" s="152" t="s">
        <v>397</v>
      </c>
      <c r="H11" s="152"/>
      <c r="I11" s="152"/>
      <c r="J11" s="58"/>
      <c r="K11" s="34"/>
      <c r="L11" s="58"/>
    </row>
    <row r="12" spans="1:12">
      <c r="A12" s="161" t="s">
        <v>408</v>
      </c>
      <c r="B12" s="58"/>
      <c r="C12" s="29"/>
      <c r="D12" s="9"/>
      <c r="E12" s="25"/>
      <c r="F12" s="152"/>
      <c r="G12" s="152"/>
      <c r="H12" s="152"/>
      <c r="I12" s="152" t="s">
        <v>413</v>
      </c>
      <c r="J12" s="57"/>
      <c r="K12" s="34"/>
      <c r="L12" s="58"/>
    </row>
    <row r="13" spans="1:12">
      <c r="A13" s="161" t="s">
        <v>409</v>
      </c>
      <c r="B13" s="58"/>
      <c r="C13" s="26"/>
      <c r="D13" s="9"/>
      <c r="E13" s="25"/>
      <c r="F13" s="152"/>
      <c r="G13" s="152"/>
      <c r="H13" s="152"/>
      <c r="I13" s="152" t="s">
        <v>413</v>
      </c>
      <c r="J13" s="58"/>
      <c r="K13" s="35"/>
      <c r="L13" s="115"/>
    </row>
    <row r="14" spans="1:12">
      <c r="A14" s="161" t="s">
        <v>410</v>
      </c>
      <c r="B14" s="58"/>
      <c r="C14" s="58"/>
      <c r="D14" s="58"/>
      <c r="E14" s="23"/>
      <c r="F14" s="23"/>
      <c r="G14" s="152" t="s">
        <v>397</v>
      </c>
      <c r="H14" s="152"/>
      <c r="I14" s="152" t="s">
        <v>417</v>
      </c>
      <c r="J14" s="58"/>
      <c r="K14" s="34"/>
      <c r="L14" s="58"/>
    </row>
    <row r="15" spans="1:12">
      <c r="A15" s="161"/>
      <c r="B15" s="58"/>
      <c r="C15" s="19"/>
      <c r="D15" s="161"/>
      <c r="E15" s="23"/>
      <c r="F15" s="152"/>
      <c r="G15" s="152"/>
      <c r="H15" s="152"/>
      <c r="I15" s="152"/>
      <c r="J15" s="161"/>
      <c r="K15" s="34"/>
      <c r="L15" s="58"/>
    </row>
    <row r="16" spans="1:12">
      <c r="A16" s="161"/>
      <c r="B16" s="58"/>
      <c r="C16" s="161"/>
      <c r="D16" s="161"/>
      <c r="E16" s="23"/>
      <c r="F16" s="23"/>
      <c r="G16" s="152"/>
      <c r="H16" s="152"/>
      <c r="I16" s="152"/>
      <c r="J16" s="58"/>
      <c r="K16" s="34"/>
      <c r="L16" s="161"/>
    </row>
    <row r="17" spans="1:12">
      <c r="A17" s="161"/>
      <c r="B17" s="58"/>
      <c r="C17" s="161"/>
      <c r="D17" s="58"/>
      <c r="E17" s="23"/>
      <c r="F17" s="152"/>
      <c r="G17" s="152"/>
      <c r="H17" s="152"/>
      <c r="I17" s="152"/>
      <c r="J17" s="58"/>
      <c r="K17" s="34"/>
      <c r="L17" s="58"/>
    </row>
    <row r="18" spans="1:12">
      <c r="A18" s="161"/>
      <c r="B18" s="21"/>
      <c r="C18" s="19"/>
      <c r="D18" s="21"/>
      <c r="E18" s="23"/>
      <c r="F18" s="152"/>
      <c r="G18" s="152"/>
      <c r="H18" s="152"/>
      <c r="I18" s="152"/>
      <c r="J18" s="21"/>
      <c r="K18" s="34"/>
      <c r="L18" s="58"/>
    </row>
    <row r="19" spans="1:12">
      <c r="A19" s="21"/>
      <c r="B19" s="21"/>
      <c r="C19" s="21"/>
      <c r="D19" s="21"/>
      <c r="E19" s="23"/>
      <c r="F19" s="23"/>
      <c r="G19" s="23"/>
      <c r="H19" s="23"/>
      <c r="I19" s="23"/>
      <c r="J19" s="21"/>
      <c r="K19" s="34"/>
      <c r="L19" s="58"/>
    </row>
    <row r="20" spans="1:12">
      <c r="A20" s="9"/>
      <c r="B20" s="21"/>
      <c r="C20" s="21"/>
      <c r="D20" s="21"/>
      <c r="E20" s="23"/>
      <c r="F20" s="23"/>
      <c r="G20" s="23"/>
      <c r="H20" s="23"/>
      <c r="I20" s="23"/>
      <c r="J20" s="21"/>
      <c r="K20" s="34"/>
      <c r="L20" s="58"/>
    </row>
    <row r="21" spans="1:12">
      <c r="A21" s="9"/>
      <c r="B21" s="58"/>
      <c r="C21" s="58"/>
      <c r="D21" s="58"/>
      <c r="E21" s="23"/>
      <c r="F21" s="23"/>
      <c r="G21" s="23"/>
      <c r="H21" s="23"/>
      <c r="I21" s="23"/>
      <c r="J21" s="58"/>
      <c r="K21" s="34"/>
      <c r="L21" s="58"/>
    </row>
    <row r="22" spans="1:12">
      <c r="A22" s="58"/>
      <c r="B22" s="58"/>
      <c r="C22" s="58"/>
      <c r="D22" s="58"/>
      <c r="E22" s="23"/>
      <c r="F22" s="23"/>
      <c r="G22" s="23"/>
      <c r="H22" s="23"/>
      <c r="I22" s="23"/>
      <c r="J22" s="58"/>
      <c r="K22" s="34"/>
      <c r="L22" s="58"/>
    </row>
    <row r="23" spans="1:12">
      <c r="A23" s="21"/>
      <c r="B23" s="21"/>
      <c r="C23" s="22"/>
      <c r="D23" s="21"/>
      <c r="E23" s="23"/>
      <c r="F23" s="18"/>
      <c r="G23" s="18"/>
      <c r="H23" s="18"/>
      <c r="I23" s="18"/>
      <c r="J23" s="58"/>
      <c r="K23" s="34"/>
      <c r="L23" s="58"/>
    </row>
    <row r="24" spans="1:12">
      <c r="A24" s="21"/>
      <c r="B24" s="21"/>
      <c r="C24" s="19"/>
      <c r="D24" s="21"/>
      <c r="E24" s="23"/>
      <c r="F24" s="18"/>
      <c r="G24" s="18"/>
      <c r="H24" s="18"/>
      <c r="I24" s="18"/>
      <c r="J24" s="58"/>
      <c r="K24" s="106"/>
      <c r="L24" s="58"/>
    </row>
    <row r="25" spans="1:12">
      <c r="A25" s="21"/>
      <c r="B25" s="21"/>
      <c r="C25" s="19"/>
      <c r="D25" s="21"/>
      <c r="E25" s="23"/>
      <c r="F25" s="18"/>
      <c r="G25" s="18"/>
      <c r="H25" s="18"/>
      <c r="I25" s="18"/>
      <c r="J25" s="19"/>
      <c r="K25" s="34"/>
      <c r="L25" s="58"/>
    </row>
    <row r="26" spans="1:12">
      <c r="D26" s="20" t="s">
        <v>5</v>
      </c>
      <c r="E26" s="125">
        <f>SUM(E5:E25)</f>
        <v>0</v>
      </c>
      <c r="F26" s="7">
        <f>SUMIF(F5:F25,"○",$E$5:$E$25)</f>
        <v>0</v>
      </c>
      <c r="G26" s="7">
        <f>SUMIF(G5:G25,"○",$E$5:$E$25)</f>
        <v>0</v>
      </c>
      <c r="H26" s="7">
        <f>SUMIF(H5:H25,"○",$E$5:$E$25)</f>
        <v>0</v>
      </c>
      <c r="I26" s="7">
        <f>SUMIF(I5:I25,"○",$E$5:$E$25)</f>
        <v>0</v>
      </c>
    </row>
    <row r="29" spans="1:12">
      <c r="A29" s="20" t="s">
        <v>259</v>
      </c>
      <c r="C29" s="20" t="s">
        <v>257</v>
      </c>
      <c r="E29" s="20">
        <f>500*B29</f>
        <v>0</v>
      </c>
      <c r="F29" s="20" t="s">
        <v>258</v>
      </c>
      <c r="G29" s="14" t="s">
        <v>258</v>
      </c>
      <c r="I29" s="14"/>
    </row>
    <row r="30" spans="1:12">
      <c r="A30" s="20" t="s">
        <v>247</v>
      </c>
    </row>
    <row r="31" spans="1:12">
      <c r="A31" s="165" t="s">
        <v>251</v>
      </c>
      <c r="B31" s="165"/>
      <c r="C31" s="165"/>
      <c r="D31" s="165"/>
      <c r="E31" s="52"/>
    </row>
    <row r="32" spans="1:12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  <customSheetView guid="{8C3311D4-BF6B-4714-8FEE-EF832EA44719}" scale="70" showPageBreaks="1" fitToPage="1" hiddenColumns="1" view="pageBreakPreview">
      <selection activeCell="L37" sqref="L37"/>
      <pageMargins left="0.70866141732283472" right="0.70866141732283472" top="0.74803149606299213" bottom="0.74803149606299213" header="0.31496062992125984" footer="0.31496062992125984"/>
      <pageSetup paperSize="9" scale="74" orientation="landscape" r:id="rId2"/>
    </customSheetView>
  </customSheetViews>
  <mergeCells count="12">
    <mergeCell ref="A31:D31"/>
    <mergeCell ref="A32:D32"/>
    <mergeCell ref="A33:D33"/>
    <mergeCell ref="L3:L4"/>
    <mergeCell ref="K3:K4"/>
    <mergeCell ref="A1:J1"/>
    <mergeCell ref="A3:A4"/>
    <mergeCell ref="C3:C4"/>
    <mergeCell ref="D3:D4"/>
    <mergeCell ref="E3:E4"/>
    <mergeCell ref="F3:G3"/>
    <mergeCell ref="H3:I3"/>
  </mergeCells>
  <phoneticPr fontId="1"/>
  <conditionalFormatting sqref="A5:K25">
    <cfRule type="expression" dxfId="1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3 B24:B25">
      <formula1>"購入,不要"</formula1>
    </dataValidation>
    <dataValidation type="list" allowBlank="1" showInputMessage="1" showErrorMessage="1" sqref="C5:C23 C2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  <pageSetUpPr fitToPage="1"/>
  </sheetPr>
  <dimension ref="A1:L34"/>
  <sheetViews>
    <sheetView view="pageBreakPreview" zoomScale="70" zoomScaleNormal="70" zoomScaleSheetLayoutView="70" workbookViewId="0">
      <selection activeCell="N18" sqref="N18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36.375" style="20" bestFit="1" customWidth="1"/>
    <col min="4" max="4" width="18.375" style="20" bestFit="1" customWidth="1"/>
    <col min="5" max="5" width="11.125" style="20" customWidth="1"/>
    <col min="6" max="6" width="11.125" style="20" hidden="1" customWidth="1" outlineLevel="1"/>
    <col min="7" max="7" width="11.125" style="20" customWidth="1" collapsed="1"/>
    <col min="8" max="8" width="11.125" style="20" hidden="1" customWidth="1" outlineLevel="1"/>
    <col min="9" max="9" width="11.125" style="20" customWidth="1" collapsed="1"/>
    <col min="10" max="10" width="9" style="20" bestFit="1" customWidth="1"/>
    <col min="11" max="11" width="9" style="20"/>
    <col min="12" max="12" width="40.875" style="20" customWidth="1"/>
    <col min="13" max="16384" width="9" style="20"/>
  </cols>
  <sheetData>
    <row r="1" spans="1:12">
      <c r="A1" s="164" t="s">
        <v>294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>
      <c r="A2" s="36" t="s">
        <v>70</v>
      </c>
      <c r="B2" s="36"/>
    </row>
    <row r="3" spans="1:12">
      <c r="A3" s="167" t="s">
        <v>0</v>
      </c>
      <c r="B3" s="131" t="s">
        <v>73</v>
      </c>
      <c r="C3" s="167" t="s">
        <v>1</v>
      </c>
      <c r="D3" s="167" t="s">
        <v>2</v>
      </c>
      <c r="E3" s="167" t="s">
        <v>3</v>
      </c>
      <c r="F3" s="171" t="s">
        <v>15</v>
      </c>
      <c r="G3" s="172"/>
      <c r="H3" s="171" t="s">
        <v>14</v>
      </c>
      <c r="I3" s="172"/>
      <c r="J3" s="130" t="s">
        <v>4</v>
      </c>
      <c r="K3" s="166" t="s">
        <v>46</v>
      </c>
      <c r="L3" s="166" t="s">
        <v>4</v>
      </c>
    </row>
    <row r="4" spans="1:12">
      <c r="A4" s="168"/>
      <c r="B4" s="132"/>
      <c r="C4" s="168"/>
      <c r="D4" s="168"/>
      <c r="E4" s="168"/>
      <c r="F4" s="130" t="s">
        <v>12</v>
      </c>
      <c r="G4" s="130" t="s">
        <v>13</v>
      </c>
      <c r="H4" s="130" t="s">
        <v>12</v>
      </c>
      <c r="I4" s="130" t="s">
        <v>13</v>
      </c>
      <c r="J4" s="130"/>
      <c r="K4" s="166"/>
      <c r="L4" s="166"/>
    </row>
    <row r="5" spans="1:12">
      <c r="A5" s="129"/>
      <c r="B5" s="129"/>
      <c r="C5" s="19"/>
      <c r="D5" s="129"/>
      <c r="E5" s="23"/>
      <c r="F5" s="18"/>
      <c r="G5" s="18"/>
      <c r="H5" s="18"/>
      <c r="I5" s="18"/>
      <c r="J5" s="129"/>
      <c r="K5" s="34"/>
      <c r="L5" s="129"/>
    </row>
    <row r="6" spans="1:12">
      <c r="A6" s="129"/>
      <c r="B6" s="129"/>
      <c r="C6" s="29"/>
      <c r="D6" s="9"/>
      <c r="E6" s="25"/>
      <c r="F6" s="18"/>
      <c r="G6" s="18"/>
      <c r="H6" s="18"/>
      <c r="I6" s="18"/>
      <c r="J6" s="57"/>
      <c r="K6" s="34"/>
      <c r="L6" s="129"/>
    </row>
    <row r="7" spans="1:12">
      <c r="A7" s="129"/>
      <c r="B7" s="129"/>
      <c r="C7" s="26"/>
      <c r="D7" s="9"/>
      <c r="E7" s="25"/>
      <c r="F7" s="18"/>
      <c r="G7" s="18"/>
      <c r="H7" s="18"/>
      <c r="I7" s="18"/>
      <c r="J7" s="129"/>
      <c r="K7" s="35"/>
      <c r="L7" s="115"/>
    </row>
    <row r="8" spans="1:12">
      <c r="A8" s="129"/>
      <c r="B8" s="129"/>
      <c r="C8" s="19"/>
      <c r="D8" s="129"/>
      <c r="E8" s="23"/>
      <c r="F8" s="18"/>
      <c r="G8" s="18"/>
      <c r="H8" s="18"/>
      <c r="I8" s="18"/>
      <c r="J8" s="129"/>
      <c r="K8" s="34"/>
      <c r="L8" s="129"/>
    </row>
    <row r="9" spans="1:12">
      <c r="A9" s="129"/>
      <c r="B9" s="129"/>
      <c r="C9" s="19"/>
      <c r="D9" s="129"/>
      <c r="E9" s="23"/>
      <c r="F9" s="18"/>
      <c r="G9" s="18"/>
      <c r="H9" s="18"/>
      <c r="I9" s="18"/>
      <c r="J9" s="129"/>
      <c r="K9" s="34"/>
      <c r="L9" s="129"/>
    </row>
    <row r="10" spans="1:12">
      <c r="A10" s="129"/>
      <c r="B10" s="129"/>
      <c r="C10" s="129"/>
      <c r="D10" s="129"/>
      <c r="E10" s="23"/>
      <c r="F10" s="18"/>
      <c r="G10" s="18"/>
      <c r="H10" s="18"/>
      <c r="I10" s="18"/>
      <c r="J10" s="129"/>
      <c r="K10" s="34"/>
      <c r="L10" s="129"/>
    </row>
    <row r="11" spans="1:12">
      <c r="A11" s="129"/>
      <c r="B11" s="129"/>
      <c r="C11" s="129"/>
      <c r="D11" s="129"/>
      <c r="E11" s="23"/>
      <c r="F11" s="23"/>
      <c r="G11" s="23"/>
      <c r="H11" s="23"/>
      <c r="I11" s="23"/>
      <c r="J11" s="129"/>
      <c r="K11" s="34"/>
      <c r="L11" s="129"/>
    </row>
    <row r="12" spans="1:12">
      <c r="A12" s="129"/>
      <c r="B12" s="129"/>
      <c r="C12" s="129"/>
      <c r="D12" s="129"/>
      <c r="E12" s="23"/>
      <c r="F12" s="23"/>
      <c r="G12" s="23"/>
      <c r="H12" s="23"/>
      <c r="I12" s="23"/>
      <c r="J12" s="129"/>
      <c r="K12" s="34"/>
      <c r="L12" s="129"/>
    </row>
    <row r="13" spans="1:12">
      <c r="A13" s="9"/>
      <c r="B13" s="129"/>
      <c r="C13" s="129"/>
      <c r="D13" s="129"/>
      <c r="E13" s="23"/>
      <c r="F13" s="23"/>
      <c r="G13" s="23"/>
      <c r="H13" s="23"/>
      <c r="I13" s="23"/>
      <c r="J13" s="129"/>
      <c r="K13" s="34"/>
      <c r="L13" s="129"/>
    </row>
    <row r="14" spans="1:12">
      <c r="A14" s="129"/>
      <c r="B14" s="129"/>
      <c r="C14" s="129"/>
      <c r="D14" s="129"/>
      <c r="E14" s="23"/>
      <c r="F14" s="23"/>
      <c r="G14" s="23"/>
      <c r="H14" s="23"/>
      <c r="I14" s="23"/>
      <c r="J14" s="129"/>
      <c r="K14" s="34"/>
      <c r="L14" s="129"/>
    </row>
    <row r="15" spans="1:12">
      <c r="A15" s="129"/>
      <c r="B15" s="129"/>
      <c r="C15" s="129"/>
      <c r="D15" s="129"/>
      <c r="E15" s="23"/>
      <c r="F15" s="23"/>
      <c r="G15" s="23"/>
      <c r="H15" s="23"/>
      <c r="I15" s="23"/>
      <c r="J15" s="129"/>
      <c r="K15" s="34"/>
      <c r="L15" s="129"/>
    </row>
    <row r="16" spans="1:12">
      <c r="A16" s="129"/>
      <c r="B16" s="129"/>
      <c r="C16" s="129"/>
      <c r="D16" s="129"/>
      <c r="E16" s="23"/>
      <c r="F16" s="23"/>
      <c r="G16" s="23"/>
      <c r="H16" s="23"/>
      <c r="I16" s="23"/>
      <c r="J16" s="129"/>
      <c r="K16" s="34"/>
      <c r="L16" s="129"/>
    </row>
    <row r="17" spans="1:12">
      <c r="A17" s="9"/>
      <c r="B17" s="129"/>
      <c r="C17" s="129"/>
      <c r="D17" s="129"/>
      <c r="E17" s="23"/>
      <c r="F17" s="23"/>
      <c r="G17" s="23"/>
      <c r="H17" s="23"/>
      <c r="I17" s="23"/>
      <c r="J17" s="129"/>
      <c r="K17" s="34"/>
      <c r="L17" s="129"/>
    </row>
    <row r="18" spans="1:12">
      <c r="A18" s="129"/>
      <c r="B18" s="129"/>
      <c r="C18" s="129"/>
      <c r="D18" s="129"/>
      <c r="E18" s="23"/>
      <c r="F18" s="23"/>
      <c r="G18" s="23"/>
      <c r="H18" s="23"/>
      <c r="I18" s="23"/>
      <c r="J18" s="129"/>
      <c r="K18" s="34"/>
      <c r="L18" s="129"/>
    </row>
    <row r="19" spans="1:12">
      <c r="A19" s="129"/>
      <c r="B19" s="129"/>
      <c r="C19" s="129"/>
      <c r="D19" s="129"/>
      <c r="E19" s="23"/>
      <c r="F19" s="23"/>
      <c r="G19" s="23"/>
      <c r="H19" s="23"/>
      <c r="I19" s="23"/>
      <c r="J19" s="129"/>
      <c r="K19" s="34"/>
      <c r="L19" s="129"/>
    </row>
    <row r="20" spans="1:12">
      <c r="A20" s="9"/>
      <c r="B20" s="129"/>
      <c r="C20" s="129"/>
      <c r="D20" s="129"/>
      <c r="E20" s="23"/>
      <c r="F20" s="23"/>
      <c r="G20" s="23"/>
      <c r="H20" s="23"/>
      <c r="I20" s="23"/>
      <c r="J20" s="129"/>
      <c r="K20" s="34"/>
      <c r="L20" s="129"/>
    </row>
    <row r="21" spans="1:12">
      <c r="A21" s="9"/>
      <c r="B21" s="129"/>
      <c r="C21" s="129"/>
      <c r="D21" s="129"/>
      <c r="E21" s="23"/>
      <c r="F21" s="23"/>
      <c r="G21" s="23"/>
      <c r="H21" s="23"/>
      <c r="I21" s="23"/>
      <c r="J21" s="129"/>
      <c r="K21" s="34"/>
      <c r="L21" s="129"/>
    </row>
    <row r="22" spans="1:12">
      <c r="A22" s="129"/>
      <c r="B22" s="129"/>
      <c r="C22" s="129"/>
      <c r="D22" s="129"/>
      <c r="E22" s="23"/>
      <c r="F22" s="23"/>
      <c r="G22" s="23"/>
      <c r="H22" s="23"/>
      <c r="I22" s="23"/>
      <c r="J22" s="129"/>
      <c r="K22" s="34"/>
      <c r="L22" s="129"/>
    </row>
    <row r="23" spans="1:12">
      <c r="A23" s="129"/>
      <c r="B23" s="129"/>
      <c r="C23" s="57"/>
      <c r="D23" s="129"/>
      <c r="E23" s="23"/>
      <c r="F23" s="18"/>
      <c r="G23" s="18"/>
      <c r="H23" s="18"/>
      <c r="I23" s="18"/>
      <c r="J23" s="129"/>
      <c r="K23" s="34"/>
      <c r="L23" s="129"/>
    </row>
    <row r="24" spans="1:12">
      <c r="A24" s="129"/>
      <c r="B24" s="129"/>
      <c r="C24" s="19"/>
      <c r="D24" s="129"/>
      <c r="E24" s="23"/>
      <c r="F24" s="18"/>
      <c r="G24" s="18"/>
      <c r="H24" s="18"/>
      <c r="I24" s="18"/>
      <c r="J24" s="129"/>
      <c r="K24" s="106"/>
      <c r="L24" s="129"/>
    </row>
    <row r="25" spans="1:12">
      <c r="A25" s="129"/>
      <c r="B25" s="129"/>
      <c r="C25" s="19"/>
      <c r="D25" s="129"/>
      <c r="E25" s="23"/>
      <c r="F25" s="18"/>
      <c r="G25" s="18"/>
      <c r="H25" s="18"/>
      <c r="I25" s="18"/>
      <c r="J25" s="19"/>
      <c r="K25" s="34"/>
      <c r="L25" s="129"/>
    </row>
    <row r="26" spans="1:12">
      <c r="D26" s="20" t="s">
        <v>5</v>
      </c>
      <c r="E26" s="125">
        <f>SUM(E5:E25)</f>
        <v>0</v>
      </c>
      <c r="F26" s="7">
        <f>SUMIF(F5:F25,"○",$E$5:$E$25)</f>
        <v>0</v>
      </c>
      <c r="G26" s="7">
        <f>SUMIF(G5:G25,"○",$E$5:$E$25)</f>
        <v>0</v>
      </c>
      <c r="H26" s="7">
        <f>SUMIF(H5:H25,"○",$E$5:$E$25)</f>
        <v>0</v>
      </c>
      <c r="I26" s="7">
        <f>SUMIF(I5:I25,"○",$E$5:$E$25)</f>
        <v>0</v>
      </c>
    </row>
    <row r="29" spans="1:12">
      <c r="A29" s="20" t="s">
        <v>259</v>
      </c>
      <c r="C29" s="20" t="s">
        <v>257</v>
      </c>
      <c r="E29" s="20">
        <f>500*B29</f>
        <v>0</v>
      </c>
      <c r="F29" s="20" t="s">
        <v>258</v>
      </c>
      <c r="G29" s="14" t="s">
        <v>258</v>
      </c>
      <c r="I29" s="14"/>
    </row>
    <row r="30" spans="1:12">
      <c r="A30" s="20" t="s">
        <v>247</v>
      </c>
    </row>
    <row r="31" spans="1:12">
      <c r="A31" s="165" t="s">
        <v>251</v>
      </c>
      <c r="B31" s="165"/>
      <c r="C31" s="165"/>
      <c r="D31" s="165"/>
      <c r="E31" s="52"/>
    </row>
    <row r="32" spans="1:12">
      <c r="A32" s="165"/>
      <c r="B32" s="165"/>
      <c r="C32" s="165"/>
      <c r="D32" s="165"/>
      <c r="E32" s="52"/>
    </row>
    <row r="33" spans="1:5">
      <c r="A33" s="165"/>
      <c r="B33" s="165"/>
      <c r="C33" s="165"/>
      <c r="D33" s="165"/>
      <c r="E33" s="52"/>
    </row>
    <row r="34" spans="1:5">
      <c r="E34" s="101">
        <f>SUM(E31:E33)</f>
        <v>0</v>
      </c>
    </row>
  </sheetData>
  <customSheetViews>
    <customSheetView guid="{A87E9810-C071-481C-8E97-844F69858952}" scale="70" showPageBreaks="1" fitToPage="1" hiddenColumns="1" view="pageBreakPreview">
      <selection activeCell="A2" sqref="A2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  <customSheetView guid="{8C3311D4-BF6B-4714-8FEE-EF832EA44719}" scale="70" showPageBreaks="1" fitToPage="1" hiddenColumns="1" view="pageBreakPreview">
      <selection activeCell="A2" sqref="A2"/>
      <pageMargins left="0.70866141732283472" right="0.70866141732283472" top="0.74803149606299213" bottom="0.74803149606299213" header="0.31496062992125984" footer="0.31496062992125984"/>
      <pageSetup paperSize="9" scale="74" orientation="landscape" r:id="rId2"/>
    </customSheetView>
  </customSheetViews>
  <mergeCells count="12">
    <mergeCell ref="A1:J1"/>
    <mergeCell ref="A3:A4"/>
    <mergeCell ref="C3:C4"/>
    <mergeCell ref="D3:D4"/>
    <mergeCell ref="E3:E4"/>
    <mergeCell ref="F3:G3"/>
    <mergeCell ref="H3:I3"/>
    <mergeCell ref="K3:K4"/>
    <mergeCell ref="L3:L4"/>
    <mergeCell ref="A31:D31"/>
    <mergeCell ref="A32:D32"/>
    <mergeCell ref="A33:D33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C5:C25">
      <formula1>教科書リスト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15</vt:i4>
      </vt:variant>
    </vt:vector>
  </HeadingPairs>
  <TitlesOfParts>
    <vt:vector size="38" baseType="lpstr">
      <vt:lpstr>コース別テキスト代</vt:lpstr>
      <vt:lpstr>教材費（教科書代以外）</vt:lpstr>
      <vt:lpstr>教科書一覧</vt:lpstr>
      <vt:lpstr>各クラスの集計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(情報処理技術学科3年課程)</vt:lpstr>
      <vt:lpstr>一般3年生(情報処理技術学科3年課程)</vt:lpstr>
      <vt:lpstr>一般3年生(ITスペシャリスト学科)</vt:lpstr>
      <vt:lpstr>一般4年生</vt:lpstr>
      <vt:lpstr>一般1年生 (キャリアデザイン)</vt:lpstr>
      <vt:lpstr>一般2年生 (キャリアデザイン)</vt:lpstr>
      <vt:lpstr>一般1年生 (スポーツ福祉)</vt:lpstr>
      <vt:lpstr>一般2年生 (スポーツ福祉)</vt:lpstr>
      <vt:lpstr>一般1年生 (パソコン事務)</vt:lpstr>
      <vt:lpstr>アスリート1年生</vt:lpstr>
      <vt:lpstr>アスリート2年生</vt:lpstr>
      <vt:lpstr>アスリート3年生</vt:lpstr>
      <vt:lpstr>留学生1年生</vt:lpstr>
      <vt:lpstr>留学生2年生</vt:lpstr>
      <vt:lpstr>留学生3年生</vt:lpstr>
      <vt:lpstr>留学生4年生</vt:lpstr>
      <vt:lpstr>アスリート2年生!Print_Area</vt:lpstr>
      <vt:lpstr>アスリート3年生!Print_Area</vt:lpstr>
      <vt:lpstr>コース別テキスト代!Print_Area</vt:lpstr>
      <vt:lpstr>'一般1年生 (キャリアデザイン)'!Print_Area</vt:lpstr>
      <vt:lpstr>'一般1年生(情報処理技術学科2年課程)'!Print_Area</vt:lpstr>
      <vt:lpstr>'一般2年生 (キャリアデザイン)'!Print_Area</vt:lpstr>
      <vt:lpstr>'一般2年生 (スポーツ福祉)'!Print_Area</vt:lpstr>
      <vt:lpstr>'一般2年生 (情報処理技術学科2年課程)'!Print_Area</vt:lpstr>
      <vt:lpstr>'一般2年生 (情報処理技術学科3年課程)'!Print_Area</vt:lpstr>
      <vt:lpstr>'一般3年生(ITスペシャリスト学科)'!Print_Area</vt:lpstr>
      <vt:lpstr>'一般3年生(情報処理技術学科3年課程)'!Print_Area</vt:lpstr>
      <vt:lpstr>教科書一覧!Print_Area</vt:lpstr>
      <vt:lpstr>留学生2年生!Print_Area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2017-04-10T00:11:33Z</cp:lastPrinted>
  <dcterms:created xsi:type="dcterms:W3CDTF">2015-02-26T06:34:18Z</dcterms:created>
  <dcterms:modified xsi:type="dcterms:W3CDTF">2018-03-23T07:33:49Z</dcterms:modified>
</cp:coreProperties>
</file>
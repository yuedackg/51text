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" windowWidth="20490" windowHeight="7740" tabRatio="845" activeTab="2"/>
  </bookViews>
  <sheets>
    <sheet name="各クラスの教科書などの集計" sheetId="4" r:id="rId1"/>
    <sheet name="コース別テキスト代" sheetId="21" r:id="rId2"/>
    <sheet name="教材費（教科書代以外）" sheetId="2" r:id="rId3"/>
    <sheet name="教科書一覧" sheetId="3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システム学科3年課程)" sheetId="8" r:id="rId8"/>
    <sheet name="一般3年生(情報システム学科3年課程)" sheetId="9" r:id="rId9"/>
    <sheet name="一般3年生(経営情報学科)" sheetId="10" r:id="rId10"/>
    <sheet name="一般1年生 (情報ビジネス学科　2年課程)" sheetId="11" r:id="rId11"/>
    <sheet name="一般2年生 (情報ビジネス学科　2年課程)" sheetId="12" r:id="rId12"/>
    <sheet name="一般1年生 (情報社会学科　1年課程)" sheetId="13" r:id="rId13"/>
    <sheet name="アスリート1年生" sheetId="14" r:id="rId14"/>
    <sheet name="アスリート1年生女子" sheetId="20" r:id="rId15"/>
    <sheet name="アスリート2年生" sheetId="15" r:id="rId16"/>
    <sheet name="アスリート3年生" sheetId="16" r:id="rId17"/>
    <sheet name="留学生1年生" sheetId="17" r:id="rId18"/>
    <sheet name="留学生2年生" sheetId="18" r:id="rId19"/>
    <sheet name="留学生3年生" sheetId="19" r:id="rId20"/>
  </sheets>
  <definedNames>
    <definedName name="_xlnm._FilterDatabase" localSheetId="3" hidden="1">教科書一覧!$B$1:$D$51</definedName>
    <definedName name="_xlnm._FilterDatabase" localSheetId="19" hidden="1">留学生3年生!$A$3:$L$18</definedName>
    <definedName name="CKGTシャツ代">'教材費（教科書代以外）'!$G$21</definedName>
    <definedName name="hokennryou">'教材費（教科書代以外）'!$G$26</definedName>
    <definedName name="jouhoushorigijutushasikenndai">'教材費（教科書代以外）'!$G$24</definedName>
    <definedName name="KENKOSINDANJUSHINN">'教材費（教科書代以外）'!$G$22</definedName>
    <definedName name="nihonngonouoryokuninteisikendai">'教材費（教科書代以外）'!$G$25</definedName>
    <definedName name="_xlnm.Print_Area" localSheetId="15">アスリート2年生!$A$1:$G$42</definedName>
    <definedName name="_xlnm.Print_Area" localSheetId="16">アスリート3年生!$A$1:$F$39</definedName>
    <definedName name="_xlnm.Print_Area" localSheetId="10">'一般1年生 (情報ビジネス学科　2年課程)'!$A$1:$H$41</definedName>
    <definedName name="_xlnm.Print_Area" localSheetId="4">'一般1年生(情報処理技術学科2年課程)'!$A$1:$F$40</definedName>
    <definedName name="_xlnm.Print_Area" localSheetId="7">'一般2年生 (情報システム学科3年課程)'!$A$1:$F$39</definedName>
    <definedName name="_xlnm.Print_Area" localSheetId="11">'一般2年生 (情報ビジネス学科　2年課程)'!$A$1:$F$40</definedName>
    <definedName name="_xlnm.Print_Area" localSheetId="6">'一般2年生 (情報処理技術学科2年課程)'!$A$1:$F$40</definedName>
    <definedName name="_xlnm.Print_Area" localSheetId="9">'一般3年生(経営情報学科)'!$A$1:$F$39</definedName>
    <definedName name="_xlnm.Print_Area" localSheetId="8">'一般3年生(情報システム学科3年課程)'!$A$1:$F$39</definedName>
    <definedName name="_xlnm.Print_Area" localSheetId="3">教科書一覧!$A$1:$AB$50</definedName>
    <definedName name="_xlnm.Print_Area" localSheetId="18">留学生2年生!$A$1:$O$39</definedName>
    <definedName name="SOTUGYOUSHASINDAI">'教材費（教科書代以外）'!$G$23</definedName>
    <definedName name="Z_8C3311D4_BF6B_4714_8FEE_EF832EA44719_.wvu.Cols" localSheetId="18" hidden="1">留学生2年生!$G:$G,留学生2年生!$I:$M</definedName>
    <definedName name="Z_8C3311D4_BF6B_4714_8FEE_EF832EA44719_.wvu.Cols" localSheetId="19" hidden="1">留学生3年生!$F:$F,留学生3年生!$H:$H</definedName>
    <definedName name="Z_8C3311D4_BF6B_4714_8FEE_EF832EA44719_.wvu.FilterData" localSheetId="3" hidden="1">教科書一覧!$B$1:$D$51</definedName>
    <definedName name="Z_8C3311D4_BF6B_4714_8FEE_EF832EA44719_.wvu.FilterData" localSheetId="19" hidden="1">留学生3年生!$A$3:$L$18</definedName>
    <definedName name="Z_8C3311D4_BF6B_4714_8FEE_EF832EA44719_.wvu.PrintArea" localSheetId="15" hidden="1">アスリート2年生!$A$1:$J$39</definedName>
    <definedName name="Z_8C3311D4_BF6B_4714_8FEE_EF832EA44719_.wvu.PrintArea" localSheetId="16" hidden="1">アスリート3年生!$A$1:$F$39</definedName>
    <definedName name="Z_8C3311D4_BF6B_4714_8FEE_EF832EA44719_.wvu.PrintArea" localSheetId="10" hidden="1">'一般1年生 (情報ビジネス学科　2年課程)'!$A$1:$J$41</definedName>
    <definedName name="Z_8C3311D4_BF6B_4714_8FEE_EF832EA44719_.wvu.PrintArea" localSheetId="4" hidden="1">'一般1年生(情報処理技術学科2年課程)'!$A$1:$F$40</definedName>
    <definedName name="Z_8C3311D4_BF6B_4714_8FEE_EF832EA44719_.wvu.PrintArea" localSheetId="7" hidden="1">'一般2年生 (情報システム学科3年課程)'!$A$1:$F$39</definedName>
    <definedName name="Z_8C3311D4_BF6B_4714_8FEE_EF832EA44719_.wvu.PrintArea" localSheetId="11" hidden="1">'一般2年生 (情報ビジネス学科　2年課程)'!$A$1:$F$40</definedName>
    <definedName name="Z_8C3311D4_BF6B_4714_8FEE_EF832EA44719_.wvu.PrintArea" localSheetId="6" hidden="1">'一般2年生 (情報処理技術学科2年課程)'!$A$1:$F$40</definedName>
    <definedName name="Z_8C3311D4_BF6B_4714_8FEE_EF832EA44719_.wvu.PrintArea" localSheetId="9" hidden="1">'一般3年生(経営情報学科)'!$A$1:$F$39</definedName>
    <definedName name="Z_8C3311D4_BF6B_4714_8FEE_EF832EA44719_.wvu.PrintArea" localSheetId="8" hidden="1">'一般3年生(情報システム学科3年課程)'!$A$1:$F$39</definedName>
    <definedName name="Z_8C3311D4_BF6B_4714_8FEE_EF832EA44719_.wvu.PrintArea" localSheetId="3" hidden="1">教科書一覧!$A$1:$AB$50</definedName>
    <definedName name="Z_8C3311D4_BF6B_4714_8FEE_EF832EA44719_.wvu.PrintArea" localSheetId="18" hidden="1">留学生2年生!$A$1:$O$39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7" hidden="1">'一般2年生 (情報システム学科3年課程)'!$15:$20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9" hidden="1">'一般3年生(経営情報学科)'!$15:$20</definedName>
    <definedName name="Z_8C3311D4_BF6B_4714_8FEE_EF832EA44719_.wvu.Rows" localSheetId="8" hidden="1">'一般3年生(情報システム学科3年課程)'!$15:$20</definedName>
    <definedName name="Z_A87E9810_C071_481C_8E97_844F69858952_.wvu.Cols" localSheetId="18" hidden="1">留学生2年生!$J:$M</definedName>
    <definedName name="Z_A87E9810_C071_481C_8E97_844F69858952_.wvu.Cols" localSheetId="19" hidden="1">留学生3年生!$F:$F,留学生3年生!$H:$H</definedName>
    <definedName name="Z_A87E9810_C071_481C_8E97_844F69858952_.wvu.FilterData" localSheetId="3" hidden="1">教科書一覧!$B$1:$D$51</definedName>
    <definedName name="Z_A87E9810_C071_481C_8E97_844F69858952_.wvu.PrintArea" localSheetId="15" hidden="1">アスリート2年生!$A$1:$J$39</definedName>
    <definedName name="Z_A87E9810_C071_481C_8E97_844F69858952_.wvu.PrintArea" localSheetId="16" hidden="1">アスリート3年生!$A$1:$F$39</definedName>
    <definedName name="Z_A87E9810_C071_481C_8E97_844F69858952_.wvu.PrintArea" localSheetId="10" hidden="1">'一般1年生 (情報ビジネス学科　2年課程)'!$A$1:$J$41</definedName>
    <definedName name="Z_A87E9810_C071_481C_8E97_844F69858952_.wvu.PrintArea" localSheetId="4" hidden="1">'一般1年生(情報処理技術学科2年課程)'!$A$1:$F$40</definedName>
    <definedName name="Z_A87E9810_C071_481C_8E97_844F69858952_.wvu.PrintArea" localSheetId="7" hidden="1">'一般2年生 (情報システム学科3年課程)'!$A$1:$F$39</definedName>
    <definedName name="Z_A87E9810_C071_481C_8E97_844F69858952_.wvu.PrintArea" localSheetId="11" hidden="1">'一般2年生 (情報ビジネス学科　2年課程)'!$A$1:$F$40</definedName>
    <definedName name="Z_A87E9810_C071_481C_8E97_844F69858952_.wvu.PrintArea" localSheetId="6" hidden="1">'一般2年生 (情報処理技術学科2年課程)'!$A$1:$F$40</definedName>
    <definedName name="Z_A87E9810_C071_481C_8E97_844F69858952_.wvu.PrintArea" localSheetId="9" hidden="1">'一般3年生(経営情報学科)'!$A$1:$F$39</definedName>
    <definedName name="Z_A87E9810_C071_481C_8E97_844F69858952_.wvu.PrintArea" localSheetId="8" hidden="1">'一般3年生(情報システム学科3年課程)'!$A$1:$F$39</definedName>
    <definedName name="Z_A87E9810_C071_481C_8E97_844F69858952_.wvu.PrintArea" localSheetId="3" hidden="1">教科書一覧!$A$1:$AB$50</definedName>
    <definedName name="Z_A87E9810_C071_481C_8E97_844F69858952_.wvu.PrintArea" localSheetId="18" hidden="1">留学生2年生!$A$1:$O$39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7" hidden="1">'一般2年生 (情報システム学科3年課程)'!$15:$20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9" hidden="1">'一般3年生(経営情報学科)'!$15:$20</definedName>
    <definedName name="Z_A87E9810_C071_481C_8E97_844F69858952_.wvu.Rows" localSheetId="8" hidden="1">'一般3年生(情報システム学科3年課程)'!$15:$20</definedName>
    <definedName name="Z_A87E9810_C071_481C_8E97_844F69858952_.wvu.Rows" localSheetId="3" hidden="1">教科書一覧!$26:$26,教科書一覧!#REF!</definedName>
    <definedName name="教科書リスト">教科書一覧!$B$5:$B$48</definedName>
    <definedName name="教科書一覧">教科書一覧!$B$5:$D$48</definedName>
  </definedNames>
  <calcPr calcId="145621"/>
  <customWorkbookViews>
    <customWorkbookView name="kanrisha - 個人用ビュー" guid="{A87E9810-C071-481C-8E97-844F69858952}" mergeInterval="0" personalView="1" maximized="1" xWindow="-8" yWindow="-8" windowWidth="1382" windowHeight="744" tabRatio="845" activeSheetId="19"/>
    <customWorkbookView name="ueda - 個人用ビュー" guid="{8C3311D4-BF6B-4714-8FEE-EF832EA44719}" mergeInterval="0" personalView="1" maximized="1" windowWidth="1362" windowHeight="538" tabRatio="845" activeSheetId="18" showComments="commIndAndComment"/>
  </customWorkbookViews>
</workbook>
</file>

<file path=xl/calcChain.xml><?xml version="1.0" encoding="utf-8"?>
<calcChain xmlns="http://schemas.openxmlformats.org/spreadsheetml/2006/main">
  <c r="N15" i="21" l="1"/>
  <c r="N16" i="21"/>
  <c r="N17" i="21"/>
  <c r="N18" i="21"/>
  <c r="N19" i="21"/>
  <c r="N20" i="21"/>
  <c r="M15" i="21"/>
  <c r="M16" i="21"/>
  <c r="M17" i="21"/>
  <c r="M18" i="21"/>
  <c r="M19" i="21"/>
  <c r="M20" i="21"/>
  <c r="B25" i="17"/>
  <c r="K20" i="21"/>
  <c r="K19" i="21"/>
  <c r="K18" i="21"/>
  <c r="K17" i="21"/>
  <c r="E39" i="19"/>
  <c r="L32" i="19"/>
  <c r="L31" i="19"/>
  <c r="N30" i="18"/>
  <c r="E39" i="18"/>
  <c r="E39" i="17"/>
  <c r="K16" i="21"/>
  <c r="K15" i="21"/>
  <c r="B29" i="6"/>
  <c r="B29" i="7"/>
  <c r="B29" i="8"/>
  <c r="B29" i="9"/>
  <c r="B29" i="10"/>
  <c r="B29" i="11"/>
  <c r="B29" i="12"/>
  <c r="B29" i="13"/>
  <c r="B29" i="14"/>
  <c r="B29" i="20"/>
  <c r="B29" i="15"/>
  <c r="B29" i="16"/>
  <c r="B29" i="5"/>
  <c r="B26" i="6"/>
  <c r="B26" i="7"/>
  <c r="B26" i="8"/>
  <c r="B26" i="9"/>
  <c r="B26" i="10"/>
  <c r="B26" i="11"/>
  <c r="B26" i="12"/>
  <c r="B26" i="13"/>
  <c r="B26" i="14"/>
  <c r="B26" i="20"/>
  <c r="B26" i="15"/>
  <c r="B26" i="16"/>
  <c r="B26" i="5"/>
  <c r="I20" i="21"/>
  <c r="I17" i="21"/>
  <c r="H20" i="21"/>
  <c r="H17" i="21"/>
  <c r="H19" i="21"/>
  <c r="H16" i="21"/>
  <c r="O18" i="21"/>
  <c r="O19" i="21"/>
  <c r="O20" i="21"/>
  <c r="J15" i="21" l="1"/>
  <c r="J16" i="21"/>
  <c r="J17" i="21"/>
  <c r="L17" i="21" s="1"/>
  <c r="J18" i="21"/>
  <c r="J19" i="21"/>
  <c r="J20" i="21"/>
  <c r="L20" i="21" s="1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T9" i="2"/>
  <c r="U9" i="2"/>
  <c r="V9" i="2"/>
  <c r="W9" i="2"/>
  <c r="X9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G3" i="2"/>
  <c r="H3" i="2"/>
  <c r="I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K5" i="21"/>
  <c r="K9" i="21"/>
  <c r="K13" i="21"/>
  <c r="O17" i="21"/>
  <c r="K6" i="21"/>
  <c r="K10" i="21"/>
  <c r="K14" i="21"/>
  <c r="K4" i="21"/>
  <c r="J2" i="21"/>
  <c r="J4" i="21"/>
  <c r="J6" i="21"/>
  <c r="J8" i="21"/>
  <c r="J10" i="21"/>
  <c r="J12" i="21"/>
  <c r="J14" i="21"/>
  <c r="J3" i="21"/>
  <c r="J5" i="21"/>
  <c r="H7" i="21"/>
  <c r="H9" i="21"/>
  <c r="H11" i="21"/>
  <c r="H13" i="21"/>
  <c r="K3" i="21"/>
  <c r="K7" i="21"/>
  <c r="K11" i="21"/>
  <c r="O15" i="21"/>
  <c r="K2" i="21"/>
  <c r="K8" i="21"/>
  <c r="K12" i="21"/>
  <c r="O16" i="21"/>
  <c r="H2" i="21"/>
  <c r="H4" i="21"/>
  <c r="H6" i="21"/>
  <c r="H8" i="21"/>
  <c r="H10" i="21"/>
  <c r="H12" i="21"/>
  <c r="H14" i="21"/>
  <c r="H3" i="21"/>
  <c r="H5" i="21"/>
  <c r="I5" i="21"/>
  <c r="J7" i="21"/>
  <c r="J9" i="21"/>
  <c r="J11" i="21"/>
  <c r="J13" i="21"/>
  <c r="L5" i="21" l="1"/>
  <c r="E5" i="18"/>
  <c r="E6" i="18"/>
  <c r="E7" i="18"/>
  <c r="E11" i="18"/>
  <c r="E9" i="18"/>
  <c r="E14" i="18"/>
  <c r="E12" i="18"/>
  <c r="E15" i="18"/>
  <c r="E16" i="18"/>
  <c r="E17" i="18"/>
  <c r="O9" i="21"/>
  <c r="O4" i="21"/>
  <c r="O8" i="21"/>
  <c r="O11" i="21"/>
  <c r="O3" i="21"/>
  <c r="O10" i="21"/>
  <c r="O13" i="21"/>
  <c r="O5" i="21"/>
  <c r="O12" i="21"/>
  <c r="O2" i="21"/>
  <c r="O7" i="21"/>
  <c r="O14" i="21"/>
  <c r="O6" i="21"/>
  <c r="M5" i="21" l="1"/>
  <c r="N5" i="21" s="1"/>
  <c r="E38" i="5"/>
  <c r="E37" i="5"/>
  <c r="E38" i="6"/>
  <c r="E37" i="6"/>
  <c r="E38" i="7"/>
  <c r="E37" i="7"/>
  <c r="E34" i="7"/>
  <c r="E38" i="10"/>
  <c r="E38" i="11"/>
  <c r="E37" i="11"/>
  <c r="E38" i="12"/>
  <c r="E37" i="12"/>
  <c r="E34" i="12"/>
  <c r="E38" i="13"/>
  <c r="E37" i="13"/>
  <c r="E34" i="13"/>
  <c r="E34" i="16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8" i="14"/>
  <c r="E9" i="14"/>
  <c r="E38" i="20"/>
  <c r="E37" i="20"/>
  <c r="E39" i="20" s="1"/>
  <c r="E29" i="20"/>
  <c r="E25" i="20"/>
  <c r="E24" i="20"/>
  <c r="E23" i="20"/>
  <c r="E22" i="20"/>
  <c r="E21" i="20"/>
  <c r="E20" i="20"/>
  <c r="E19" i="20"/>
  <c r="E18" i="20"/>
  <c r="E17" i="20"/>
  <c r="E16" i="20"/>
  <c r="E14" i="20"/>
  <c r="E12" i="20"/>
  <c r="E11" i="20"/>
  <c r="E10" i="20"/>
  <c r="E9" i="20"/>
  <c r="E8" i="20"/>
  <c r="E7" i="20"/>
  <c r="E6" i="20"/>
  <c r="E5" i="20"/>
  <c r="E4" i="20"/>
  <c r="I12" i="21"/>
  <c r="L12" i="21" l="1"/>
  <c r="E26" i="20"/>
  <c r="F32" i="20" s="1"/>
  <c r="M12" i="21" l="1"/>
  <c r="N12" i="21" s="1"/>
  <c r="E38" i="8"/>
  <c r="E38" i="9"/>
  <c r="E38" i="14"/>
  <c r="E38" i="15"/>
  <c r="E38" i="16"/>
  <c r="E38" i="17"/>
  <c r="E38" i="18"/>
  <c r="E38" i="19"/>
  <c r="E37" i="14"/>
  <c r="E37" i="15"/>
  <c r="E37" i="16"/>
  <c r="E37" i="17"/>
  <c r="E5" i="19" l="1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7" i="18"/>
  <c r="D9" i="18"/>
  <c r="D11" i="18"/>
  <c r="D12" i="18"/>
  <c r="D14" i="18"/>
  <c r="D15" i="18"/>
  <c r="D16" i="18"/>
  <c r="D17" i="18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4" i="14"/>
  <c r="E5" i="14"/>
  <c r="E6" i="14"/>
  <c r="E7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4" i="11"/>
  <c r="E5" i="11"/>
  <c r="E6" i="11"/>
  <c r="E4" i="12"/>
  <c r="E5" i="12"/>
  <c r="E6" i="12"/>
  <c r="E12" i="12"/>
  <c r="E12" i="11"/>
  <c r="E7" i="11"/>
  <c r="E8" i="11"/>
  <c r="E9" i="11"/>
  <c r="E10" i="11"/>
  <c r="E11" i="11"/>
  <c r="E7" i="12"/>
  <c r="E8" i="12"/>
  <c r="E9" i="12"/>
  <c r="E10" i="12"/>
  <c r="E11" i="12"/>
  <c r="E13" i="11"/>
  <c r="E14" i="11"/>
  <c r="E15" i="11"/>
  <c r="E16" i="11"/>
  <c r="F25" i="18" l="1"/>
  <c r="H3" i="3" l="1"/>
  <c r="L3" i="3"/>
  <c r="P3" i="3"/>
  <c r="R3" i="3"/>
  <c r="E26" i="11" l="1"/>
  <c r="E26" i="19" l="1"/>
  <c r="T16" i="2" l="1"/>
  <c r="E29" i="19" l="1"/>
  <c r="E29" i="14"/>
  <c r="I11" i="21"/>
  <c r="L11" i="21" l="1"/>
  <c r="E29" i="6"/>
  <c r="E29" i="7"/>
  <c r="E29" i="9"/>
  <c r="E29" i="10"/>
  <c r="E29" i="11"/>
  <c r="E29" i="12"/>
  <c r="E29" i="13"/>
  <c r="E29" i="15"/>
  <c r="E29" i="16"/>
  <c r="E27" i="18"/>
  <c r="E29" i="5"/>
  <c r="F39" i="11"/>
  <c r="E39" i="6"/>
  <c r="E39" i="7"/>
  <c r="E39" i="8"/>
  <c r="E39" i="9"/>
  <c r="E39" i="10"/>
  <c r="E39" i="11"/>
  <c r="G32" i="11" s="1"/>
  <c r="E39" i="12"/>
  <c r="E39" i="13"/>
  <c r="E39" i="14"/>
  <c r="E39" i="15"/>
  <c r="E39" i="16"/>
  <c r="E39" i="5"/>
  <c r="E4" i="10"/>
  <c r="I7" i="21"/>
  <c r="I6" i="21"/>
  <c r="I10" i="21"/>
  <c r="I4" i="21"/>
  <c r="I9" i="21"/>
  <c r="I2" i="21"/>
  <c r="I3" i="21"/>
  <c r="I8" i="21"/>
  <c r="I14" i="21"/>
  <c r="I13" i="21"/>
  <c r="M11" i="21" l="1"/>
  <c r="N11" i="21" s="1"/>
  <c r="N29" i="18"/>
  <c r="I19" i="21"/>
  <c r="L19" i="21" s="1"/>
  <c r="I16" i="21"/>
  <c r="L16" i="21" s="1"/>
  <c r="L13" i="21"/>
  <c r="L9" i="21"/>
  <c r="L7" i="21"/>
  <c r="L4" i="21"/>
  <c r="L14" i="21"/>
  <c r="L10" i="21"/>
  <c r="L8" i="21"/>
  <c r="L6" i="21"/>
  <c r="L3" i="21"/>
  <c r="L2" i="21"/>
  <c r="G25" i="18"/>
  <c r="H25" i="18"/>
  <c r="I25" i="18"/>
  <c r="F25" i="17"/>
  <c r="M3" i="21" l="1"/>
  <c r="N3" i="21" s="1"/>
  <c r="M8" i="21"/>
  <c r="N8" i="21" s="1"/>
  <c r="M14" i="21"/>
  <c r="N14" i="21" s="1"/>
  <c r="M7" i="21"/>
  <c r="N7" i="21" s="1"/>
  <c r="M13" i="21"/>
  <c r="N13" i="21" s="1"/>
  <c r="M6" i="21"/>
  <c r="N6" i="21" s="1"/>
  <c r="M10" i="21"/>
  <c r="N10" i="21" s="1"/>
  <c r="M4" i="21"/>
  <c r="N4" i="21" s="1"/>
  <c r="M9" i="21"/>
  <c r="N9" i="21" s="1"/>
  <c r="M2" i="21"/>
  <c r="N2" i="21" s="1"/>
  <c r="H15" i="21"/>
  <c r="G11" i="2"/>
  <c r="C4" i="2" s="1"/>
  <c r="H11" i="2"/>
  <c r="C5" i="2" s="1"/>
  <c r="I11" i="2"/>
  <c r="C6" i="2" s="1"/>
  <c r="J11" i="2"/>
  <c r="C7" i="2" s="1"/>
  <c r="K11" i="2"/>
  <c r="C8" i="2" s="1"/>
  <c r="L11" i="2"/>
  <c r="C9" i="2" s="1"/>
  <c r="M11" i="2"/>
  <c r="N11" i="2"/>
  <c r="C11" i="2" s="1"/>
  <c r="O11" i="2"/>
  <c r="P11" i="2"/>
  <c r="C13" i="2" s="1"/>
  <c r="Q11" i="2"/>
  <c r="R11" i="2"/>
  <c r="C15" i="2" s="1"/>
  <c r="S11" i="2"/>
  <c r="T11" i="2"/>
  <c r="C17" i="2" s="1"/>
  <c r="U11" i="2"/>
  <c r="V11" i="2"/>
  <c r="C19" i="2" s="1"/>
  <c r="W11" i="2"/>
  <c r="X11" i="2"/>
  <c r="C21" i="2" s="1"/>
  <c r="Y11" i="2"/>
  <c r="Z11" i="2"/>
  <c r="C23" i="2" s="1"/>
  <c r="AA11" i="2"/>
  <c r="AB11" i="2"/>
  <c r="C25" i="2" s="1"/>
  <c r="AC11" i="2"/>
  <c r="C16" i="2" l="1"/>
  <c r="C14" i="2"/>
  <c r="C12" i="2"/>
  <c r="C10" i="2"/>
  <c r="C26" i="2"/>
  <c r="C22" i="2"/>
  <c r="C20" i="2"/>
  <c r="C18" i="2"/>
  <c r="C24" i="2"/>
  <c r="E28" i="3" l="1"/>
  <c r="E46" i="3"/>
  <c r="E26" i="3"/>
  <c r="E8" i="3"/>
  <c r="AA3" i="3"/>
  <c r="E17" i="3"/>
  <c r="Z3" i="3"/>
  <c r="V3" i="3"/>
  <c r="U3" i="3"/>
  <c r="T3" i="3"/>
  <c r="S3" i="3"/>
  <c r="Q3" i="3"/>
  <c r="O3" i="3"/>
  <c r="E23" i="3"/>
  <c r="E12" i="3"/>
  <c r="E11" i="3"/>
  <c r="M3" i="3"/>
  <c r="E29" i="3"/>
  <c r="J3" i="3"/>
  <c r="I3" i="3"/>
  <c r="G3" i="3"/>
  <c r="E7" i="3" l="1"/>
  <c r="W3" i="3"/>
  <c r="F3" i="3"/>
  <c r="E32" i="3"/>
  <c r="K3" i="3"/>
  <c r="N3" i="3"/>
  <c r="X3" i="3"/>
  <c r="Y3" i="3"/>
  <c r="E24" i="3"/>
  <c r="E5" i="3"/>
  <c r="E16" i="3"/>
  <c r="E9" i="3"/>
  <c r="E31" i="3"/>
  <c r="E22" i="3"/>
  <c r="E18" i="3"/>
  <c r="E27" i="3"/>
  <c r="E20" i="3"/>
  <c r="E13" i="3"/>
  <c r="E14" i="3"/>
  <c r="E10" i="3"/>
  <c r="E6" i="3"/>
  <c r="E15" i="3"/>
  <c r="E19" i="3"/>
  <c r="E25" i="3"/>
  <c r="AB3" i="3" l="1"/>
  <c r="E26" i="8"/>
  <c r="F32" i="8" s="1"/>
  <c r="F26" i="19" l="1"/>
  <c r="I26" i="19"/>
  <c r="H26" i="19"/>
  <c r="G26" i="19"/>
  <c r="M25" i="18"/>
  <c r="L25" i="18"/>
  <c r="K25" i="18"/>
  <c r="J25" i="18"/>
  <c r="E25" i="18"/>
  <c r="G25" i="17"/>
  <c r="H18" i="21" l="1"/>
  <c r="E25" i="17"/>
  <c r="E26" i="16"/>
  <c r="F33" i="16" s="1"/>
  <c r="E26" i="15"/>
  <c r="F35" i="15" s="1"/>
  <c r="E26" i="14"/>
  <c r="F33" i="14" s="1"/>
  <c r="E26" i="10"/>
  <c r="F32" i="10" s="1"/>
  <c r="E26" i="9"/>
  <c r="F32" i="9" s="1"/>
  <c r="E26" i="12"/>
  <c r="F32" i="12" s="1"/>
  <c r="E26" i="7"/>
  <c r="F32" i="7" s="1"/>
  <c r="E26" i="13"/>
  <c r="F32" i="13" s="1"/>
  <c r="E26" i="6"/>
  <c r="F32" i="6" s="1"/>
  <c r="E26" i="5"/>
  <c r="F32" i="5" s="1"/>
  <c r="I18" i="21"/>
  <c r="L18" i="21" s="1"/>
  <c r="H32" i="17"/>
  <c r="G27" i="17" s="1"/>
  <c r="H31" i="17"/>
  <c r="F27" i="17" s="1"/>
  <c r="I15" i="21"/>
  <c r="L15" i="21" s="1"/>
</calcChain>
</file>

<file path=xl/comments1.xml><?xml version="1.0" encoding="utf-8"?>
<comments xmlns="http://schemas.openxmlformats.org/spreadsheetml/2006/main">
  <authors>
    <author>work</author>
    <author>ueda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  <comment ref="G26" authorId="1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Fixの必要あり。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教科書リスト
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21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uedこここコメントは並び替えで移動する？
</t>
        </r>
      </text>
    </comment>
    <comment ref="AB2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  <comment ref="D36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7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8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  <comment ref="D39" authorId="0">
      <text>
        <r>
          <rPr>
            <b/>
            <sz val="9"/>
            <color indexed="81"/>
            <rFont val="ＭＳ Ｐゴシック"/>
            <family val="3"/>
            <charset val="128"/>
          </rPr>
          <t>宮崎先生
割引価格を記入？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G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植田が独断で変更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G12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comments4.xml><?xml version="1.0" encoding="utf-8"?>
<comments xmlns="http://schemas.openxmlformats.org/spreadsheetml/2006/main">
  <authors>
    <author>ueda</author>
  </authors>
  <commentList>
    <comment ref="N30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健康診断の見積もりが、22000円以内で収まれば、このまま、
</t>
        </r>
      </text>
    </comment>
  </commentList>
</comments>
</file>

<file path=xl/sharedStrings.xml><?xml version="1.0" encoding="utf-8"?>
<sst xmlns="http://schemas.openxmlformats.org/spreadsheetml/2006/main" count="1243" uniqueCount="403">
  <si>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</si>
  <si>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</si>
  <si>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</si>
  <si>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</si>
  <si>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</si>
  <si>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</si>
  <si>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</si>
  <si>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</si>
  <si>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</si>
  <si>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</si>
  <si>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</si>
  <si>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</si>
  <si>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</si>
  <si>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FOM出版</t>
  </si>
  <si>
    <t>日商簿記検定問題集3級</t>
  </si>
  <si>
    <t>サービス接遇検定3級　受験ガイド改訂版</t>
  </si>
  <si>
    <t>職業教育・キャリア教育財団</t>
  </si>
  <si>
    <t>教科担当</t>
    <phoneticPr fontId="1"/>
  </si>
  <si>
    <t>選定担当</t>
    <rPh sb="0" eb="2">
      <t>センテイ</t>
    </rPh>
    <rPh sb="2" eb="4">
      <t>タントウ</t>
    </rPh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</si>
  <si>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</si>
  <si>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</si>
  <si>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</si>
  <si>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</si>
  <si>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</si>
  <si>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</si>
  <si>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</si>
  <si>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</si>
  <si>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</si>
  <si>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</si>
  <si>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</si>
  <si>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</si>
  <si>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各クラスの教科書選定状況</t>
  </si>
  <si>
    <t>購入</t>
    <rPh sb="0" eb="2">
      <t>コウニュウ</t>
    </rPh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</si>
  <si>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</si>
  <si>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</si>
  <si>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</si>
  <si>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</si>
  <si>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</si>
  <si>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</si>
  <si>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</si>
  <si>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一般生</t>
    <rPh sb="0" eb="2">
      <t>イッパン</t>
    </rPh>
    <rPh sb="2" eb="3">
      <t>セイ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</si>
  <si>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</si>
  <si>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</si>
  <si>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冊数</t>
    <rPh sb="0" eb="2">
      <t>サッスウ</t>
    </rPh>
    <phoneticPr fontId="1"/>
  </si>
  <si>
    <t>一般1年
2年
課程</t>
    <rPh sb="0" eb="2">
      <t>イッパン</t>
    </rPh>
    <rPh sb="3" eb="4">
      <t>ネン</t>
    </rPh>
    <rPh sb="6" eb="7">
      <t>ネン</t>
    </rPh>
    <rPh sb="8" eb="10">
      <t>カテイ</t>
    </rPh>
    <phoneticPr fontId="1"/>
  </si>
  <si>
    <t>一般1年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</si>
  <si>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2年課程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</si>
  <si>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一般2年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</si>
  <si>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一般3年
3年課程</t>
    <rPh sb="0" eb="2">
      <t>イッパン</t>
    </rPh>
    <rPh sb="3" eb="4">
      <t>ネン</t>
    </rPh>
    <rPh sb="6" eb="7">
      <t>ネン</t>
    </rPh>
    <rPh sb="7" eb="9">
      <t>カテイ</t>
    </rPh>
    <phoneticPr fontId="1"/>
  </si>
  <si>
    <t>1年キャリアデザインW</t>
    <rPh sb="1" eb="2">
      <t>ネン</t>
    </rPh>
    <phoneticPr fontId="1"/>
  </si>
  <si>
    <t>1年キャリアデザイン事</t>
    <rPh sb="1" eb="2">
      <t>ネン</t>
    </rPh>
    <rPh sb="10" eb="11">
      <t>コト</t>
    </rPh>
    <phoneticPr fontId="1"/>
  </si>
  <si>
    <t>2年キャリアデザイン</t>
    <rPh sb="1" eb="2">
      <t>ネン</t>
    </rPh>
    <phoneticPr fontId="1"/>
  </si>
  <si>
    <t>1年スポーツ福祉</t>
    <rPh sb="1" eb="2">
      <t>ネン</t>
    </rPh>
    <rPh sb="6" eb="8">
      <t>フクシ</t>
    </rPh>
    <phoneticPr fontId="1"/>
  </si>
  <si>
    <t>2年スポーツ福祉</t>
    <rPh sb="1" eb="2">
      <t>ネン</t>
    </rPh>
    <rPh sb="6" eb="8">
      <t>フクシ</t>
    </rPh>
    <phoneticPr fontId="1"/>
  </si>
  <si>
    <t>1年パソコン事務</t>
    <rPh sb="1" eb="2">
      <t>ネン</t>
    </rPh>
    <rPh sb="6" eb="8">
      <t>ジム</t>
    </rPh>
    <phoneticPr fontId="1"/>
  </si>
  <si>
    <t>アスリート1年
W</t>
    <rPh sb="6" eb="7">
      <t>ネン</t>
    </rPh>
    <phoneticPr fontId="1"/>
  </si>
  <si>
    <t>アスリート1年セル</t>
    <rPh sb="6" eb="7">
      <t>ネン</t>
    </rPh>
    <phoneticPr fontId="1"/>
  </si>
  <si>
    <t>アスリート2年Web</t>
    <rPh sb="6" eb="7">
      <t>ネン</t>
    </rPh>
    <phoneticPr fontId="1"/>
  </si>
  <si>
    <t>アスリート2年セル</t>
    <rPh sb="6" eb="7">
      <t>ネン</t>
    </rPh>
    <phoneticPr fontId="1"/>
  </si>
  <si>
    <t>アスリート3年</t>
    <rPh sb="6" eb="7">
      <t>ネン</t>
    </rPh>
    <phoneticPr fontId="1"/>
  </si>
  <si>
    <t>留学
1年
天神</t>
    <rPh sb="0" eb="2">
      <t>リュウガク</t>
    </rPh>
    <rPh sb="4" eb="5">
      <t>ネン</t>
    </rPh>
    <rPh sb="6" eb="8">
      <t>テンジン</t>
    </rPh>
    <phoneticPr fontId="1"/>
  </si>
  <si>
    <t>留学
1年
大橋</t>
    <rPh sb="0" eb="2">
      <t>リュウガク</t>
    </rPh>
    <rPh sb="4" eb="5">
      <t>ネン</t>
    </rPh>
    <rPh sb="6" eb="8">
      <t>オオハシ</t>
    </rPh>
    <phoneticPr fontId="1"/>
  </si>
  <si>
    <t>留学2年天神</t>
    <rPh sb="0" eb="2">
      <t>リュウガク</t>
    </rPh>
    <rPh sb="3" eb="4">
      <t>ネン</t>
    </rPh>
    <rPh sb="4" eb="6">
      <t>テンジン</t>
    </rPh>
    <phoneticPr fontId="1"/>
  </si>
  <si>
    <t>留学2年大橋</t>
    <rPh sb="0" eb="2">
      <t>リュウガク</t>
    </rPh>
    <rPh sb="3" eb="4">
      <t>ネン</t>
    </rPh>
    <rPh sb="4" eb="6">
      <t>オオハシ</t>
    </rPh>
    <phoneticPr fontId="1"/>
  </si>
  <si>
    <t>留学3年</t>
    <rPh sb="0" eb="2">
      <t>リュウガク</t>
    </rPh>
    <rPh sb="3" eb="4">
      <t>ネン</t>
    </rPh>
    <phoneticPr fontId="1"/>
  </si>
  <si>
    <t>一般4年</t>
    <rPh sb="0" eb="2">
      <t>イッパン</t>
    </rPh>
    <rPh sb="3" eb="4">
      <t>ネン</t>
    </rPh>
    <phoneticPr fontId="1"/>
  </si>
  <si>
    <t>ITスペシャリスト</t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</si>
  <si>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</si>
  <si>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</si>
  <si>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</si>
  <si>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</si>
  <si>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NO</t>
    <phoneticPr fontId="1"/>
  </si>
  <si>
    <t>クラス名</t>
    <rPh sb="3" eb="4">
      <t>メイ</t>
    </rPh>
    <phoneticPr fontId="1"/>
  </si>
  <si>
    <t>一般1年2年課程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</si>
  <si>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一般1年3年課程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</si>
  <si>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一般2年2年課程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</si>
  <si>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一般2年3年課程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</si>
  <si>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一般3年3年課程</t>
    <rPh sb="0" eb="2">
      <t>イッパン</t>
    </rPh>
    <rPh sb="3" eb="4">
      <t>ネン</t>
    </rPh>
    <rPh sb="5" eb="6">
      <t>ネン</t>
    </rPh>
    <rPh sb="6" eb="8">
      <t>カテイ</t>
    </rPh>
    <phoneticPr fontId="1"/>
  </si>
  <si>
    <t>アスリート1年W</t>
    <rPh sb="6" eb="7">
      <t>ネン</t>
    </rPh>
    <phoneticPr fontId="1"/>
  </si>
  <si>
    <t>留学1年天神</t>
    <rPh sb="0" eb="2">
      <t>リュウガク</t>
    </rPh>
    <rPh sb="3" eb="4">
      <t>ネン</t>
    </rPh>
    <rPh sb="4" eb="6">
      <t>テンジン</t>
    </rPh>
    <phoneticPr fontId="1"/>
  </si>
  <si>
    <t>留学1年大橋</t>
    <rPh sb="0" eb="2">
      <t>リュウガク</t>
    </rPh>
    <rPh sb="3" eb="4">
      <t>ネン</t>
    </rPh>
    <rPh sb="4" eb="6">
      <t>オオハシ</t>
    </rPh>
    <phoneticPr fontId="1"/>
  </si>
  <si>
    <t>1年</t>
    <rPh sb="1" eb="2">
      <t>ネン</t>
    </rPh>
    <phoneticPr fontId="1"/>
  </si>
  <si>
    <t>2年</t>
    <rPh sb="1" eb="2">
      <t>ネン</t>
    </rPh>
    <phoneticPr fontId="1"/>
  </si>
  <si>
    <t>3年</t>
    <rPh sb="1" eb="2">
      <t>ネン</t>
    </rPh>
    <phoneticPr fontId="1"/>
  </si>
  <si>
    <t>4年</t>
    <rPh sb="1" eb="2">
      <t>ネン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</si>
  <si>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</si>
  <si>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ITスペシャリスト</t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</si>
  <si>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</si>
  <si>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</si>
  <si>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</si>
  <si>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</si>
  <si>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</si>
  <si>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</si>
  <si>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</si>
  <si>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</si>
  <si>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</si>
  <si>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</si>
  <si>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</si>
  <si>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</si>
  <si>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</si>
  <si>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</si>
  <si>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</si>
  <si>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</si>
  <si>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</si>
  <si>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</si>
  <si>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</si>
  <si>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</si>
  <si>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</si>
  <si>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</si>
  <si>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</si>
  <si>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</si>
  <si>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</si>
  <si>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</si>
  <si>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</si>
  <si>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</si>
  <si>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</si>
  <si>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</si>
  <si>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</si>
  <si>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</si>
  <si>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</si>
  <si>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</si>
  <si>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</si>
  <si>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</si>
  <si>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</si>
  <si>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</si>
  <si>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</si>
  <si>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</si>
  <si>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</si>
  <si>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</si>
  <si>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</si>
  <si>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</si>
  <si>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</si>
  <si>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</si>
  <si>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</si>
  <si>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</si>
  <si>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</si>
  <si>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</si>
  <si>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</si>
  <si>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</si>
  <si>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</si>
  <si>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</si>
  <si>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</si>
  <si>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</si>
  <si>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</si>
  <si>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</si>
  <si>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</si>
  <si>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</si>
  <si>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</si>
  <si>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</si>
  <si>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</si>
  <si>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</si>
  <si>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</si>
  <si>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</si>
  <si>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</si>
  <si>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</si>
  <si>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</si>
  <si>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</si>
  <si>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</si>
  <si>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情報セキュリティ読本 四訂版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</si>
  <si>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</si>
  <si>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</si>
  <si>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</si>
  <si>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</si>
  <si>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</si>
  <si>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</si>
  <si>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</si>
  <si>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</si>
  <si>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</si>
  <si>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</si>
  <si>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</si>
  <si>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</si>
  <si>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</si>
  <si>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</si>
  <si>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人間教育</t>
    <rPh sb="0" eb="2">
      <t>ニンゲン</t>
    </rPh>
    <rPh sb="2" eb="4">
      <t>キョウイク</t>
    </rPh>
    <phoneticPr fontId="3"/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</si>
  <si>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</si>
  <si>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</si>
  <si>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</si>
  <si>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</si>
  <si>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</si>
  <si>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</si>
  <si>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</si>
  <si>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</si>
  <si>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</si>
  <si>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</si>
  <si>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</si>
  <si>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</si>
  <si>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</si>
  <si>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</si>
  <si>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</si>
  <si>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</si>
  <si>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</si>
  <si>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</si>
  <si>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</si>
  <si>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</si>
  <si>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</si>
  <si>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</si>
  <si>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</si>
  <si>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</si>
  <si>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</si>
  <si>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</si>
  <si>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</si>
  <si>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</si>
  <si>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</si>
  <si>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</si>
  <si>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</si>
  <si>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</si>
  <si>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</si>
  <si>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</si>
  <si>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</si>
  <si>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</si>
  <si>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</si>
  <si>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</si>
  <si>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</si>
  <si>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</si>
  <si>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</si>
  <si>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</si>
  <si>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</si>
  <si>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</si>
  <si>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</si>
  <si>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</si>
  <si>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</si>
  <si>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</si>
  <si>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</si>
  <si>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</si>
  <si>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</si>
  <si>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</si>
  <si>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</si>
  <si>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</si>
  <si>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</si>
  <si>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</si>
  <si>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</si>
  <si>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</si>
  <si>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</si>
  <si>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</si>
  <si>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</si>
  <si>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</si>
  <si>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</si>
  <si>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</si>
  <si>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</si>
  <si>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</si>
  <si>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</si>
  <si>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</si>
  <si>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</si>
  <si>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</si>
  <si>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</si>
  <si>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</si>
  <si>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</si>
  <si>
    <t>人数</t>
    <rPh sb="0" eb="2">
      <t>ニンズウ</t>
    </rPh>
    <phoneticPr fontId="1"/>
  </si>
  <si>
    <t>データベース基礎（SQL含）</t>
    <rPh sb="6" eb="8">
      <t>キソ</t>
    </rPh>
    <rPh sb="12" eb="13">
      <t>フク</t>
    </rPh>
    <phoneticPr fontId="1"/>
  </si>
  <si>
    <t>HTML・CSS</t>
    <phoneticPr fontId="1"/>
  </si>
  <si>
    <t>JavaScript</t>
  </si>
  <si>
    <t>JavaScript</t>
    <phoneticPr fontId="1"/>
  </si>
  <si>
    <t>キャリアプランⅠ</t>
    <phoneticPr fontId="1"/>
  </si>
  <si>
    <t>国家試験対策</t>
    <rPh sb="0" eb="2">
      <t>コッカ</t>
    </rPh>
    <rPh sb="2" eb="4">
      <t>シケン</t>
    </rPh>
    <rPh sb="4" eb="6">
      <t>タイサク</t>
    </rPh>
    <phoneticPr fontId="1"/>
  </si>
  <si>
    <t>JavaⅡ</t>
  </si>
  <si>
    <t>JavaⅡ</t>
    <phoneticPr fontId="1"/>
  </si>
  <si>
    <t>JavaScript実習（jQuery等）</t>
    <rPh sb="10" eb="12">
      <t>ジッシュウ</t>
    </rPh>
    <rPh sb="19" eb="20">
      <t>ナド</t>
    </rPh>
    <phoneticPr fontId="1"/>
  </si>
  <si>
    <t>Linux基礎</t>
    <rPh sb="5" eb="7">
      <t>キソ</t>
    </rPh>
    <phoneticPr fontId="1"/>
  </si>
  <si>
    <t>データベース演習</t>
    <rPh sb="6" eb="8">
      <t>エンシュウ</t>
    </rPh>
    <phoneticPr fontId="1"/>
  </si>
  <si>
    <t>卒業制作</t>
    <rPh sb="0" eb="2">
      <t>ソツギョウ</t>
    </rPh>
    <rPh sb="2" eb="4">
      <t>セイサク</t>
    </rPh>
    <phoneticPr fontId="1"/>
  </si>
  <si>
    <t>キャリアプランⅡ（就職）</t>
    <rPh sb="9" eb="11">
      <t>シュウショク</t>
    </rPh>
    <phoneticPr fontId="1"/>
  </si>
  <si>
    <t>python</t>
    <phoneticPr fontId="1"/>
  </si>
  <si>
    <t>LPIC レベル１（Linux）</t>
    <phoneticPr fontId="1"/>
  </si>
  <si>
    <t>システムデザイン</t>
    <phoneticPr fontId="1"/>
  </si>
  <si>
    <t>フレームワーク（python）</t>
    <phoneticPr fontId="1"/>
  </si>
  <si>
    <t>キャリアプランⅠ（就職）</t>
    <rPh sb="9" eb="11">
      <t>シュウショク</t>
    </rPh>
    <phoneticPr fontId="1"/>
  </si>
  <si>
    <t>情報セキュリティ</t>
    <rPh sb="0" eb="2">
      <t>ジョウホウ</t>
    </rPh>
    <phoneticPr fontId="1"/>
  </si>
  <si>
    <t>システム設計演習</t>
    <rPh sb="4" eb="6">
      <t>セッケイ</t>
    </rPh>
    <rPh sb="6" eb="8">
      <t>エンシュウ</t>
    </rPh>
    <phoneticPr fontId="1"/>
  </si>
  <si>
    <t>Webアプリケーション制作</t>
    <rPh sb="11" eb="13">
      <t>セイサク</t>
    </rPh>
    <phoneticPr fontId="1"/>
  </si>
  <si>
    <t>ネットワーク応用</t>
    <rPh sb="6" eb="8">
      <t>オウヨウ</t>
    </rPh>
    <phoneticPr fontId="1"/>
  </si>
  <si>
    <t>キャリアプランⅠ</t>
    <phoneticPr fontId="1"/>
  </si>
  <si>
    <t>情報セキュリティ（モラル）</t>
    <phoneticPr fontId="1"/>
  </si>
  <si>
    <t>購入</t>
    <rPh sb="0" eb="2">
      <t>コウニュウ</t>
    </rPh>
    <phoneticPr fontId="1"/>
  </si>
  <si>
    <t>技術評論社</t>
    <phoneticPr fontId="1"/>
  </si>
  <si>
    <t>購入</t>
    <phoneticPr fontId="1"/>
  </si>
  <si>
    <t>しごとの日本語　ビジネスマナー編</t>
  </si>
  <si>
    <t>一般2年生 (情報システム学科3年課程)</t>
  </si>
  <si>
    <t>一般3年生(情報システム学科3年課程)</t>
  </si>
  <si>
    <t>一般3年生(経営情報学科)</t>
  </si>
  <si>
    <t>一般1年生 (情報ビジネス学科　2年課程)</t>
  </si>
  <si>
    <t>一般2年生 (情報ビジネス学科　2年課程)</t>
  </si>
  <si>
    <t>一般1年生 (情報社会学科　1年課程)</t>
  </si>
  <si>
    <t>Microsoft Office Specialist Excel 2013 対策テキスト&amp; 問題集 改訂版 (よくわかるマスター)</t>
  </si>
  <si>
    <t>30時間でマスター　Word2013（Windows8対応）</t>
  </si>
  <si>
    <t>30時間でマスター　プレゼンテーション＋PowerPoint2013（Windows8対応）</t>
  </si>
  <si>
    <t>JavaScriptの絵本 第2版 Webプログラミングを始める新しい9つの扉</t>
  </si>
  <si>
    <t>しごとの日本語　ビジネスマナー編</t>
    <rPh sb="4" eb="7">
      <t>ニホンゴ</t>
    </rPh>
    <rPh sb="15" eb="16">
      <t>ヘン</t>
    </rPh>
    <phoneticPr fontId="4"/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</si>
  <si>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4"/>
  </si>
  <si>
    <t>情報演習14　ステップ30　HTML5&amp;CSS</t>
    <rPh sb="0" eb="2">
      <t>ジョウホウ</t>
    </rPh>
    <rPh sb="2" eb="4">
      <t>エンシュウ</t>
    </rPh>
    <phoneticPr fontId="4"/>
  </si>
  <si>
    <t>できるクリエイターGIMP独習ナビ</t>
    <rPh sb="13" eb="15">
      <t>ドクシュウ</t>
    </rPh>
    <phoneticPr fontId="4"/>
  </si>
  <si>
    <t>どんなときどう使う日本語表現文法500　中・上級</t>
  </si>
  <si>
    <t>みんなの日本語中級Ⅰ・Ⅱ　くり返して覚える単語帳</t>
  </si>
  <si>
    <t>初心者のためのパソコン入門 Windows 10対応</t>
    <rPh sb="0" eb="3">
      <t>ショシンシャ</t>
    </rPh>
    <rPh sb="11" eb="13">
      <t>ニュウモン</t>
    </rPh>
    <rPh sb="24" eb="26">
      <t>タイオウ</t>
    </rPh>
    <phoneticPr fontId="5"/>
  </si>
  <si>
    <t>高校生から始めるJw_cad製図超入門 (エクスナレッジムック) </t>
  </si>
  <si>
    <t>上級へのとびら</t>
  </si>
  <si>
    <t>上級へのとびら　これで身につく文法力</t>
  </si>
  <si>
    <t>情報セキュリティ読本―IT時代の危機管理入門</t>
  </si>
  <si>
    <t>株式会社アンク</t>
  </si>
  <si>
    <t>SBクリエイティブ</t>
  </si>
  <si>
    <t>株式会社アルク</t>
    <rPh sb="0" eb="4">
      <t>カブシキガイシャ</t>
    </rPh>
    <phoneticPr fontId="4"/>
  </si>
  <si>
    <t>くろしお出版</t>
    <rPh sb="4" eb="6">
      <t>シュッパン</t>
    </rPh>
    <phoneticPr fontId="4"/>
  </si>
  <si>
    <t>impress</t>
  </si>
  <si>
    <t>株式会社アルク</t>
  </si>
  <si>
    <t>スリーエーネットワーク</t>
  </si>
  <si>
    <t>エクスナレッジ</t>
  </si>
  <si>
    <t>jQuery標準デザイン講座</t>
    <rPh sb="6" eb="8">
      <t>ヒョウジュン</t>
    </rPh>
    <rPh sb="12" eb="14">
      <t>コウザ</t>
    </rPh>
    <phoneticPr fontId="1"/>
  </si>
  <si>
    <t>翔泳社</t>
    <phoneticPr fontId="1"/>
  </si>
  <si>
    <t>伝え方のプロが教える【売上倍増】販促物のつくりかた ~Word&amp;PowerPointでだれでも・お得に・本格デザイン！</t>
  </si>
  <si>
    <t>伝え方のプロが教える【売上倍増】販促物のつくりかた ~Word&amp;PowerPointでだれでも・お得に・本格デザイン！</t>
    <phoneticPr fontId="1"/>
  </si>
  <si>
    <t>購入</t>
    <phoneticPr fontId="1"/>
  </si>
  <si>
    <t>購入</t>
    <phoneticPr fontId="1"/>
  </si>
  <si>
    <t>購入</t>
    <rPh sb="0" eb="2">
      <t>コウニュウ</t>
    </rPh>
    <phoneticPr fontId="1"/>
  </si>
  <si>
    <t>なし</t>
    <phoneticPr fontId="1"/>
  </si>
  <si>
    <t>なし</t>
    <phoneticPr fontId="1"/>
  </si>
  <si>
    <t>不要</t>
    <phoneticPr fontId="1"/>
  </si>
  <si>
    <t>不要</t>
    <phoneticPr fontId="1"/>
  </si>
  <si>
    <t>なし</t>
    <phoneticPr fontId="1"/>
  </si>
  <si>
    <t>不要</t>
    <phoneticPr fontId="1"/>
  </si>
  <si>
    <t>購入</t>
    <phoneticPr fontId="1"/>
  </si>
  <si>
    <t>作業状況：完了</t>
  </si>
  <si>
    <t>確かな力が身につくJavaScript「超」入門</t>
  </si>
  <si>
    <t>　SBクリエイティブ</t>
  </si>
  <si>
    <t>不要</t>
    <phoneticPr fontId="1"/>
  </si>
  <si>
    <t>不要</t>
    <phoneticPr fontId="1"/>
  </si>
  <si>
    <t>IoT実習</t>
  </si>
  <si>
    <t>はじめてのNode‐RED</t>
  </si>
  <si>
    <t>工学社</t>
  </si>
  <si>
    <t>不要</t>
    <phoneticPr fontId="1"/>
  </si>
  <si>
    <t>不要</t>
    <rPh sb="0" eb="2">
      <t>フヨウ</t>
    </rPh>
    <phoneticPr fontId="1"/>
  </si>
  <si>
    <t>なし</t>
    <phoneticPr fontId="1"/>
  </si>
  <si>
    <t>なし</t>
    <phoneticPr fontId="4"/>
  </si>
  <si>
    <t>なし</t>
    <phoneticPr fontId="1"/>
  </si>
  <si>
    <t>購入</t>
    <rPh sb="0" eb="2">
      <t>コウニュウ</t>
    </rPh>
    <phoneticPr fontId="1"/>
  </si>
  <si>
    <t>購入</t>
    <phoneticPr fontId="1"/>
  </si>
  <si>
    <t>購入</t>
    <phoneticPr fontId="1"/>
  </si>
  <si>
    <t>初心者のためのパソコン入門 Windows 7対応</t>
    <rPh sb="0" eb="3">
      <t>ショシンシャ</t>
    </rPh>
    <rPh sb="11" eb="13">
      <t>ニュウモン</t>
    </rPh>
    <rPh sb="23" eb="25">
      <t>タイオウ</t>
    </rPh>
    <phoneticPr fontId="5"/>
  </si>
  <si>
    <t>FOM出版</t>
    <phoneticPr fontId="1"/>
  </si>
  <si>
    <t>※WEB上のフリーテキストを使用</t>
    <rPh sb="4" eb="5">
      <t>ジョウ</t>
    </rPh>
    <rPh sb="14" eb="16">
      <t>シヨウ</t>
    </rPh>
    <phoneticPr fontId="1"/>
  </si>
  <si>
    <t>SQLの絵本</t>
  </si>
  <si>
    <t>エクスナレッジムック</t>
  </si>
  <si>
    <t>みんなの日本語中級Ⅰ・Ⅱ　くり返して覚える単語帳</t>
    <phoneticPr fontId="1"/>
  </si>
  <si>
    <t>ネット上のフリーテキストを使用</t>
    <rPh sb="3" eb="4">
      <t>ジョウ</t>
    </rPh>
    <rPh sb="13" eb="15">
      <t>シヨウ</t>
    </rPh>
    <phoneticPr fontId="1"/>
  </si>
  <si>
    <t>健康診断</t>
    <rPh sb="0" eb="2">
      <t>ケンコウ</t>
    </rPh>
    <rPh sb="2" eb="4">
      <t>シンダン</t>
    </rPh>
    <phoneticPr fontId="1"/>
  </si>
  <si>
    <t>Tシャツ代</t>
    <rPh sb="4" eb="5">
      <t>ダイ</t>
    </rPh>
    <phoneticPr fontId="1"/>
  </si>
  <si>
    <t>Tシャツ代</t>
    <rPh sb="4" eb="5">
      <t>ダイ</t>
    </rPh>
    <phoneticPr fontId="1"/>
  </si>
  <si>
    <t>パソコン保険料</t>
    <rPh sb="4" eb="6">
      <t>ホケン</t>
    </rPh>
    <rPh sb="6" eb="7">
      <t>リョウ</t>
    </rPh>
    <phoneticPr fontId="1"/>
  </si>
  <si>
    <t>パソコン保険料</t>
    <rPh sb="4" eb="6">
      <t>ホケン</t>
    </rPh>
    <rPh sb="6" eb="7">
      <t>リョウ</t>
    </rPh>
    <phoneticPr fontId="1"/>
  </si>
  <si>
    <t>アプリケーション利用料</t>
    <rPh sb="8" eb="11">
      <t>リヨウリョウ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</si>
  <si>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</si>
  <si>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保険料（アスリート）</t>
    <rPh sb="0" eb="3">
      <t>ホケンリョウ</t>
    </rPh>
    <phoneticPr fontId="1"/>
  </si>
  <si>
    <t>なし</t>
    <phoneticPr fontId="1"/>
  </si>
  <si>
    <t>なし</t>
    <phoneticPr fontId="1"/>
  </si>
  <si>
    <t>超過分</t>
    <rPh sb="0" eb="3">
      <t>チョウカブン</t>
    </rPh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</si>
  <si>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</si>
  <si>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</si>
  <si>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</si>
  <si>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</si>
  <si>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</si>
  <si>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</si>
  <si>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</si>
  <si>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</si>
  <si>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</si>
  <si>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CKG　Tシャツ代</t>
    <rPh sb="8" eb="9">
      <t>ダイ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</si>
  <si>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</si>
  <si>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アスリート合計</t>
    <rPh sb="5" eb="7">
      <t>ゴウケイ</t>
    </rPh>
    <phoneticPr fontId="1"/>
  </si>
  <si>
    <t>合計</t>
    <rPh sb="0" eb="2">
      <t>ゴウケイ</t>
    </rPh>
    <phoneticPr fontId="1"/>
  </si>
  <si>
    <t>アスリート1年生女子</t>
  </si>
  <si>
    <t>アスリート養成</t>
    <phoneticPr fontId="1"/>
  </si>
  <si>
    <t>不要</t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</si>
  <si>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</si>
  <si>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H30年度教科書（一般3年生 経営情報学科）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ケイエイ</t>
    </rPh>
    <rPh sb="17" eb="19">
      <t>ジョウホウ</t>
    </rPh>
    <rPh sb="19" eb="21">
      <t>ガッカ</t>
    </rPh>
    <phoneticPr fontId="1"/>
  </si>
  <si>
    <t>なし</t>
    <phoneticPr fontId="1"/>
  </si>
  <si>
    <t>なし</t>
    <phoneticPr fontId="1"/>
  </si>
  <si>
    <t>不要</t>
    <phoneticPr fontId="1"/>
  </si>
  <si>
    <t>合計</t>
    <rPh sb="0" eb="2">
      <t>ゴウケイ</t>
    </rPh>
    <phoneticPr fontId="1"/>
  </si>
  <si>
    <t>不要</t>
    <phoneticPr fontId="1"/>
  </si>
  <si>
    <t>モチベーションマネジメント</t>
    <phoneticPr fontId="1"/>
  </si>
  <si>
    <t>JavaScriptの絵本 第2版 Webプログラミングを始める新しい9つの扉</t>
    <phoneticPr fontId="1"/>
  </si>
  <si>
    <t>○ → ×</t>
    <phoneticPr fontId="1"/>
  </si>
  <si>
    <t>○ → ×</t>
  </si>
  <si>
    <t>HTML&amp;CSSとWebデザインが 1冊できちんと身につく本</t>
    <phoneticPr fontId="1"/>
  </si>
  <si>
    <t>技術評論社</t>
    <phoneticPr fontId="1"/>
  </si>
  <si>
    <t>いちばんよくわかるWebデザインの基本</t>
    <rPh sb="17" eb="19">
      <t>キホン</t>
    </rPh>
    <phoneticPr fontId="4"/>
  </si>
  <si>
    <t>No</t>
    <phoneticPr fontId="1"/>
  </si>
  <si>
    <t>教科書</t>
    <rPh sb="0" eb="3">
      <t>キョウカショ</t>
    </rPh>
    <phoneticPr fontId="1"/>
  </si>
  <si>
    <t>価格</t>
    <rPh sb="0" eb="2">
      <t>カカク</t>
    </rPh>
    <phoneticPr fontId="1"/>
  </si>
  <si>
    <t>※卒業写真代　一般生で卒業年次のみ。昨年の教科書代に同じ。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18" eb="20">
      <t>サクネン</t>
    </rPh>
    <rPh sb="21" eb="24">
      <t>キョウカショ</t>
    </rPh>
    <rPh sb="24" eb="25">
      <t>ダイ</t>
    </rPh>
    <rPh sb="26" eb="27">
      <t>オナ</t>
    </rPh>
    <phoneticPr fontId="1"/>
  </si>
  <si>
    <t>学科名</t>
    <rPh sb="0" eb="2">
      <t>ガッカ</t>
    </rPh>
    <rPh sb="2" eb="3">
      <t>メイ</t>
    </rPh>
    <phoneticPr fontId="1"/>
  </si>
  <si>
    <t>通称学科</t>
    <rPh sb="0" eb="2">
      <t>ツウショウ</t>
    </rPh>
    <rPh sb="2" eb="4">
      <t>ガッカ</t>
    </rPh>
    <phoneticPr fontId="1"/>
  </si>
  <si>
    <t>キャリア</t>
    <phoneticPr fontId="1"/>
  </si>
  <si>
    <t>アスリート</t>
    <phoneticPr fontId="1"/>
  </si>
  <si>
    <t>情報処理技術者試験代</t>
    <rPh sb="0" eb="2">
      <t>ジョウホウ</t>
    </rPh>
    <rPh sb="2" eb="4">
      <t>ショリ</t>
    </rPh>
    <rPh sb="4" eb="7">
      <t>ギジュツシャ</t>
    </rPh>
    <rPh sb="7" eb="9">
      <t>シケン</t>
    </rPh>
    <rPh sb="9" eb="10">
      <t>ダイ</t>
    </rPh>
    <phoneticPr fontId="1"/>
  </si>
  <si>
    <t>日本語能力認定試験代</t>
    <rPh sb="0" eb="3">
      <t>ニホンゴ</t>
    </rPh>
    <rPh sb="3" eb="5">
      <t>ノウリョク</t>
    </rPh>
    <rPh sb="5" eb="7">
      <t>ニンテイ</t>
    </rPh>
    <rPh sb="7" eb="9">
      <t>シケン</t>
    </rPh>
    <rPh sb="9" eb="10">
      <t>ダイ</t>
    </rPh>
    <phoneticPr fontId="1"/>
  </si>
  <si>
    <t>保険料（野球部）</t>
    <rPh sb="0" eb="3">
      <t>ホケンリョウ</t>
    </rPh>
    <rPh sb="4" eb="6">
      <t>ヤキュウ</t>
    </rPh>
    <rPh sb="6" eb="7">
      <t>ブ</t>
    </rPh>
    <phoneticPr fontId="1"/>
  </si>
  <si>
    <t>教科書代合計</t>
    <rPh sb="0" eb="3">
      <t>キョウカショ</t>
    </rPh>
    <rPh sb="3" eb="4">
      <t>ダイ</t>
    </rPh>
    <rPh sb="4" eb="6">
      <t>ゴウケイ</t>
    </rPh>
    <phoneticPr fontId="1"/>
  </si>
  <si>
    <t>プリント代</t>
    <rPh sb="4" eb="5">
      <t>ダイ</t>
    </rPh>
    <phoneticPr fontId="1"/>
  </si>
  <si>
    <t>教材など</t>
    <rPh sb="0" eb="2">
      <t>キョウザイ</t>
    </rPh>
    <phoneticPr fontId="1"/>
  </si>
  <si>
    <t>購入冊数</t>
    <rPh sb="0" eb="2">
      <t>コウニュウ</t>
    </rPh>
    <rPh sb="2" eb="4">
      <t>サッスウ</t>
    </rPh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</si>
  <si>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</si>
  <si>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</si>
  <si>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プリント調整費</t>
    <rPh sb="4" eb="6">
      <t>チョウセイ</t>
    </rPh>
    <rPh sb="6" eb="7">
      <t>ヒ</t>
    </rPh>
    <phoneticPr fontId="1"/>
  </si>
  <si>
    <t>最終教科書代</t>
    <rPh sb="0" eb="2">
      <t>サイシュウ</t>
    </rPh>
    <rPh sb="2" eb="5">
      <t>キョウカショ</t>
    </rPh>
    <rPh sb="5" eb="6">
      <t>ダイ</t>
    </rPh>
    <phoneticPr fontId="1"/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</si>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</sst>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  <numFmt numFmtId="178" formatCode="0&quot;冊&quot;"/>
  </numFmts>
  <fonts count="2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0" fillId="0" borderId="0" xfId="0" applyAlignment="1">
      <alignment vertical="center"/>
    </xf>
    <xf numFmtId="6" fontId="0" fillId="0" borderId="1" xfId="3" applyFont="1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 applyAlignment="1">
      <alignment horizontal="left" vertical="center" wrapText="1"/>
    </xf>
    <xf numFmtId="0" fontId="0" fillId="0" borderId="15" xfId="0" applyBorder="1">
      <alignment vertical="center"/>
    </xf>
    <xf numFmtId="0" fontId="0" fillId="2" borderId="5" xfId="0" applyFill="1" applyBorder="1" applyAlignment="1">
      <alignment horizontal="left" vertical="center" wrapText="1"/>
    </xf>
    <xf numFmtId="0" fontId="0" fillId="0" borderId="17" xfId="0" applyBorder="1">
      <alignment vertical="center"/>
    </xf>
    <xf numFmtId="0" fontId="0" fillId="0" borderId="18" xfId="0" applyBorder="1" applyAlignment="1">
      <alignment horizontal="left" vertical="center"/>
    </xf>
    <xf numFmtId="0" fontId="0" fillId="0" borderId="19" xfId="0" applyBorder="1">
      <alignment vertical="center"/>
    </xf>
    <xf numFmtId="38" fontId="0" fillId="0" borderId="16" xfId="5" applyFont="1" applyBorder="1">
      <alignment vertical="center"/>
    </xf>
    <xf numFmtId="38" fontId="0" fillId="0" borderId="11" xfId="5" applyFont="1" applyBorder="1">
      <alignment vertical="center"/>
    </xf>
    <xf numFmtId="38" fontId="0" fillId="0" borderId="14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0" fontId="0" fillId="2" borderId="9" xfId="0" applyFill="1" applyBorder="1" applyAlignment="1">
      <alignment horizontal="left" vertical="center" shrinkToFit="1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5" fontId="19" fillId="0" borderId="0" xfId="0" applyNumberFormat="1" applyFont="1">
      <alignment vertical="center"/>
    </xf>
    <xf numFmtId="5" fontId="19" fillId="0" borderId="0" xfId="0" applyNumberFormat="1" applyFont="1" applyBorder="1">
      <alignment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 wrapText="1"/>
    </xf>
    <xf numFmtId="6" fontId="0" fillId="0" borderId="1" xfId="3" applyFont="1" applyFill="1" applyBorder="1" applyAlignment="1">
      <alignment vertical="center"/>
    </xf>
    <xf numFmtId="0" fontId="16" fillId="0" borderId="0" xfId="0" applyFont="1" applyFill="1" applyAlignment="1">
      <alignment horizontal="left" vertical="center" wrapText="1" indent="1"/>
    </xf>
    <xf numFmtId="0" fontId="11" fillId="0" borderId="1" xfId="0" applyFont="1" applyFill="1" applyBorder="1">
      <alignment vertical="center"/>
    </xf>
    <xf numFmtId="6" fontId="11" fillId="0" borderId="1" xfId="3" applyFont="1" applyFill="1" applyBorder="1">
      <alignment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6" fontId="0" fillId="0" borderId="5" xfId="3" applyFont="1" applyFill="1" applyBorder="1">
      <alignment vertical="center"/>
    </xf>
    <xf numFmtId="0" fontId="0" fillId="0" borderId="21" xfId="0" applyFill="1" applyBorder="1" applyAlignment="1">
      <alignment horizontal="center" vertical="center" shrinkToFit="1"/>
    </xf>
    <xf numFmtId="0" fontId="0" fillId="0" borderId="2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shrinkToFit="1"/>
    </xf>
    <xf numFmtId="5" fontId="0" fillId="4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8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177" fontId="0" fillId="0" borderId="1" xfId="0" applyNumberFormat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7" fontId="0" fillId="0" borderId="1" xfId="0" applyNumberFormat="1" applyBorder="1" applyAlignment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shrinkToFit="1"/>
      <protection locked="0"/>
    </xf>
    <xf numFmtId="5" fontId="0" fillId="0" borderId="1" xfId="0" applyNumberFormat="1" applyFill="1" applyBorder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0" fontId="2" fillId="0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 shrinkToFit="1"/>
      <protection locked="0"/>
    </xf>
    <xf numFmtId="0" fontId="0" fillId="3" borderId="1" xfId="0" applyFill="1" applyBorder="1" applyProtection="1">
      <alignment vertical="center"/>
      <protection locked="0"/>
    </xf>
    <xf numFmtId="177" fontId="0" fillId="0" borderId="1" xfId="0" applyNumberFormat="1" applyFill="1" applyBorder="1" applyProtection="1">
      <alignment vertical="center"/>
      <protection locked="0"/>
    </xf>
    <xf numFmtId="3" fontId="0" fillId="0" borderId="1" xfId="0" applyNumberForma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vertical="center" shrinkToFit="1"/>
      <protection locked="0"/>
    </xf>
    <xf numFmtId="6" fontId="0" fillId="0" borderId="1" xfId="3" applyFont="1" applyBorder="1" applyProtection="1">
      <alignment vertical="center"/>
      <protection locked="0"/>
    </xf>
    <xf numFmtId="0" fontId="17" fillId="0" borderId="1" xfId="0" applyFont="1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 shrinkToFit="1"/>
      <protection locked="0"/>
    </xf>
    <xf numFmtId="176" fontId="0" fillId="4" borderId="1" xfId="0" applyNumberFormat="1" applyFill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6" fontId="0" fillId="0" borderId="1" xfId="0" applyNumberFormat="1" applyFill="1" applyBorder="1" applyProtection="1">
      <alignment vertical="center"/>
      <protection locked="0"/>
    </xf>
    <xf numFmtId="6" fontId="0" fillId="0" borderId="1" xfId="3" applyFont="1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8" fillId="0" borderId="1" xfId="0" applyFont="1" applyBorder="1" applyProtection="1">
      <alignment vertical="center"/>
      <protection locked="0"/>
    </xf>
    <xf numFmtId="0" fontId="18" fillId="0" borderId="1" xfId="0" applyFont="1" applyBorder="1" applyAlignment="1" applyProtection="1">
      <alignment vertical="center" shrinkToFit="1"/>
      <protection locked="0"/>
    </xf>
    <xf numFmtId="6" fontId="18" fillId="0" borderId="1" xfId="3" applyFont="1" applyFill="1" applyBorder="1" applyProtection="1">
      <alignment vertical="center"/>
      <protection locked="0"/>
    </xf>
    <xf numFmtId="177" fontId="18" fillId="0" borderId="1" xfId="0" applyNumberFormat="1" applyFont="1" applyFill="1" applyBorder="1" applyProtection="1">
      <alignment vertical="center"/>
      <protection locked="0"/>
    </xf>
    <xf numFmtId="0" fontId="0" fillId="0" borderId="1" xfId="0" applyFill="1" applyBorder="1" applyAlignment="1">
      <alignment horizontal="left" vertical="center" shrinkToFit="1"/>
    </xf>
    <xf numFmtId="5" fontId="0" fillId="0" borderId="4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shrinkToFit="1"/>
    </xf>
    <xf numFmtId="5" fontId="0" fillId="0" borderId="5" xfId="0" applyNumberFormat="1" applyFill="1" applyBorder="1" applyAlignment="1">
      <alignment vertical="center"/>
    </xf>
    <xf numFmtId="0" fontId="17" fillId="0" borderId="1" xfId="6" applyFont="1" applyFill="1" applyBorder="1" applyAlignment="1">
      <alignment vertical="center" shrinkToFit="1"/>
    </xf>
    <xf numFmtId="0" fontId="0" fillId="0" borderId="5" xfId="0" applyFill="1" applyBorder="1" applyAlignment="1">
      <alignment vertical="center" wrapText="1"/>
    </xf>
    <xf numFmtId="0" fontId="0" fillId="0" borderId="6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6" xfId="0" applyBorder="1">
      <alignment vertical="center"/>
    </xf>
    <xf numFmtId="0" fontId="0" fillId="0" borderId="23" xfId="0" applyBorder="1">
      <alignment vertical="center"/>
    </xf>
    <xf numFmtId="0" fontId="0" fillId="0" borderId="7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vertical="center" shrinkToFit="1"/>
      <protection locked="0"/>
    </xf>
    <xf numFmtId="177" fontId="0" fillId="3" borderId="1" xfId="0" applyNumberFormat="1" applyFill="1" applyBorder="1" applyProtection="1">
      <alignment vertical="center"/>
      <protection locked="0"/>
    </xf>
    <xf numFmtId="5" fontId="0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9" fillId="0" borderId="20" xfId="0" applyFont="1" applyFill="1" applyBorder="1">
      <alignment vertical="center"/>
    </xf>
    <xf numFmtId="0" fontId="20" fillId="0" borderId="9" xfId="0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178" fontId="0" fillId="0" borderId="0" xfId="3" applyNumberFormat="1" applyFont="1">
      <alignment vertical="center"/>
    </xf>
    <xf numFmtId="0" fontId="0" fillId="0" borderId="5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26" xfId="0" applyBorder="1">
      <alignment vertical="center"/>
    </xf>
    <xf numFmtId="0" fontId="0" fillId="0" borderId="26" xfId="0" applyBorder="1" applyProtection="1">
      <alignment vertical="center"/>
      <protection locked="0"/>
    </xf>
    <xf numFmtId="6" fontId="0" fillId="0" borderId="26" xfId="3" applyFont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Protection="1">
      <alignment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5"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Normal="100" zoomScaleSheetLayoutView="100" workbookViewId="0">
      <selection activeCell="A3" sqref="A3"/>
    </sheetView>
  </sheetViews>
  <sheetFormatPr defaultColWidth="9" defaultRowHeight="13.5" x14ac:dyDescent="0.15"/>
  <cols>
    <col min="1" max="1" width="36.125" style="24" bestFit="1" customWidth="1"/>
    <col min="2" max="2" width="26.375" style="24" customWidth="1"/>
    <col min="3" max="16384" width="9" style="24"/>
  </cols>
  <sheetData>
    <row r="1" spans="1:2" x14ac:dyDescent="0.15">
      <c r="A1" s="24" t="s">
        <v>31</v>
      </c>
      <c r="B1" s="64">
        <v>43188.393530092595</v>
      </c>
    </row>
    <row r="2" spans="1:2" x14ac:dyDescent="0.15">
      <c r="A2" s="167" t="s">
        <v>19</v>
      </c>
      <c r="B2" s="167" t="s">
        <v>20</v>
      </c>
    </row>
    <row r="3" spans="1:2" x14ac:dyDescent="0.15">
      <c r="A3" s="167" t="s">
        <v>21</v>
      </c>
      <c r="B3" s="167" t="s">
        <v>319</v>
      </c>
    </row>
    <row r="4" spans="1:2" x14ac:dyDescent="0.15">
      <c r="A4" s="167" t="s">
        <v>22</v>
      </c>
      <c r="B4" s="167" t="s">
        <v>319</v>
      </c>
    </row>
    <row r="5" spans="1:2" x14ac:dyDescent="0.15">
      <c r="A5" s="167" t="s">
        <v>23</v>
      </c>
      <c r="B5" s="167" t="s">
        <v>319</v>
      </c>
    </row>
    <row r="6" spans="1:2" x14ac:dyDescent="0.15">
      <c r="A6" s="167" t="s">
        <v>276</v>
      </c>
      <c r="B6" s="167" t="s">
        <v>319</v>
      </c>
    </row>
    <row r="7" spans="1:2" x14ac:dyDescent="0.15">
      <c r="A7" s="167" t="s">
        <v>277</v>
      </c>
      <c r="B7" s="167" t="s">
        <v>319</v>
      </c>
    </row>
    <row r="8" spans="1:2" x14ac:dyDescent="0.15">
      <c r="A8" s="167" t="s">
        <v>278</v>
      </c>
      <c r="B8" s="167" t="s">
        <v>30</v>
      </c>
    </row>
    <row r="9" spans="1:2" x14ac:dyDescent="0.15">
      <c r="A9" s="167" t="s">
        <v>279</v>
      </c>
      <c r="B9" s="167" t="s">
        <v>319</v>
      </c>
    </row>
    <row r="10" spans="1:2" x14ac:dyDescent="0.15">
      <c r="A10" s="167" t="s">
        <v>280</v>
      </c>
      <c r="B10" s="167" t="s">
        <v>319</v>
      </c>
    </row>
    <row r="11" spans="1:2" x14ac:dyDescent="0.15">
      <c r="A11" s="167" t="s">
        <v>281</v>
      </c>
      <c r="B11" s="167" t="s">
        <v>319</v>
      </c>
    </row>
    <row r="12" spans="1:2" x14ac:dyDescent="0.15">
      <c r="A12" s="167" t="s">
        <v>24</v>
      </c>
      <c r="B12" s="167" t="s">
        <v>319</v>
      </c>
    </row>
    <row r="13" spans="1:2" x14ac:dyDescent="0.15">
      <c r="A13" s="167" t="s">
        <v>366</v>
      </c>
      <c r="B13" s="167" t="s">
        <v>319</v>
      </c>
    </row>
    <row r="14" spans="1:2" x14ac:dyDescent="0.15">
      <c r="A14" s="167" t="s">
        <v>25</v>
      </c>
      <c r="B14" s="167" t="s">
        <v>319</v>
      </c>
    </row>
    <row r="15" spans="1:2" x14ac:dyDescent="0.15">
      <c r="A15" s="167" t="s">
        <v>26</v>
      </c>
      <c r="B15" s="167" t="s">
        <v>319</v>
      </c>
    </row>
    <row r="16" spans="1:2" x14ac:dyDescent="0.15">
      <c r="A16" s="167" t="s">
        <v>27</v>
      </c>
      <c r="B16" s="167" t="s">
        <v>30</v>
      </c>
    </row>
    <row r="17" spans="1:2" x14ac:dyDescent="0.15">
      <c r="A17" s="167" t="s">
        <v>28</v>
      </c>
      <c r="B17" s="167" t="s">
        <v>30</v>
      </c>
    </row>
    <row r="18" spans="1:2" x14ac:dyDescent="0.15">
      <c r="A18" s="167" t="s">
        <v>29</v>
      </c>
      <c r="B18" s="167" t="s">
        <v>319</v>
      </c>
    </row>
    <row r="19" spans="1:2" x14ac:dyDescent="0.15">
      <c r="A19" s="167"/>
      <c r="B19" s="167"/>
    </row>
    <row r="20" spans="1:2" x14ac:dyDescent="0.15">
      <c r="A20" s="167"/>
      <c r="B20" s="167"/>
    </row>
  </sheetData>
  <customSheetViews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1"/>
    </customSheetView>
    <customSheetView guid="{8C3311D4-BF6B-4714-8FEE-EF832EA44719}" showPageBreaks="1" view="pageBreakPreview">
      <selection activeCell="C12" sqref="C12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0"/>
  <sheetViews>
    <sheetView workbookViewId="0">
      <selection activeCell="E8" sqref="E8"/>
    </sheetView>
  </sheetViews>
  <sheetFormatPr defaultRowHeight="13.5" outlineLevelCol="1" x14ac:dyDescent="0.15"/>
  <cols>
    <col min="5" max="5" width="36.625" bestFit="1" customWidth="1"/>
    <col min="11" max="11" width="9" style="15"/>
    <col min="12" max="12" width="13" hidden="1" customWidth="1" outlineLevel="1"/>
    <col min="13" max="13" width="13" style="15" customWidth="1" collapsed="1"/>
    <col min="14" max="14" width="13" style="15" customWidth="1"/>
  </cols>
  <sheetData>
    <row r="1" spans="1:15" ht="14.25" thickBot="1" x14ac:dyDescent="0.2">
      <c r="A1" s="40" t="s">
        <v>33</v>
      </c>
      <c r="B1" s="40" t="s">
        <v>34</v>
      </c>
      <c r="C1" s="40" t="s">
        <v>35</v>
      </c>
      <c r="D1" s="40" t="s">
        <v>387</v>
      </c>
      <c r="E1" s="40" t="s">
        <v>388</v>
      </c>
      <c r="F1" s="40" t="s">
        <v>36</v>
      </c>
      <c r="G1" s="40" t="s">
        <v>247</v>
      </c>
      <c r="H1" s="40" t="s">
        <v>37</v>
      </c>
      <c r="I1" s="40" t="s">
        <v>395</v>
      </c>
      <c r="J1" s="40" t="s">
        <v>38</v>
      </c>
      <c r="K1" s="40" t="s">
        <v>396</v>
      </c>
      <c r="L1" s="40" t="s">
        <v>394</v>
      </c>
      <c r="M1" s="40" t="s">
        <v>400</v>
      </c>
      <c r="N1" s="40" t="s">
        <v>401</v>
      </c>
      <c r="O1" s="40" t="s">
        <v>397</v>
      </c>
    </row>
    <row r="2" spans="1:15" ht="14.25" thickTop="1" x14ac:dyDescent="0.15">
      <c r="A2" s="176" t="s">
        <v>39</v>
      </c>
      <c r="B2" s="176" t="s">
        <v>40</v>
      </c>
      <c r="C2" s="176">
        <v>1</v>
      </c>
      <c r="D2" s="176"/>
      <c r="E2" s="38" t="str">
        <f>各クラスの教科書などの集計!A3</f>
        <v>一般1年生(情報処理技術学科2年課程)</v>
      </c>
      <c r="F2" s="176"/>
      <c r="G2" s="176"/>
      <c r="H2" s="42">
        <f t="shared" ref="H2:H14" ca="1" si="0">INDIRECT("'" &amp; E2 &amp; "'!e26")</f>
        <v>10950</v>
      </c>
      <c r="I2" s="42">
        <f t="shared" ref="I2:I14" ca="1" si="1">INDIRECT("'"&amp;E2&amp;"'!e29")</f>
        <v>2500</v>
      </c>
      <c r="J2" s="42">
        <f t="shared" ref="J2:J14" ca="1" si="2">INDIRECT("'"&amp;E2&amp;"'!e31")</f>
        <v>5700</v>
      </c>
      <c r="K2" s="42">
        <f t="shared" ref="K2:K14" ca="1" si="3">INDIRECT("'"&amp;E2&amp;"'!e39")</f>
        <v>10700</v>
      </c>
      <c r="L2" s="42">
        <f t="shared" ref="L2:L20" ca="1" si="4">SUM(H2:K2)</f>
        <v>29850</v>
      </c>
      <c r="M2" s="42">
        <f t="shared" ref="M2:M20" ca="1" si="5">IF(MOD(L2:L2,500)=0,0,500-MOD(L2,500))</f>
        <v>150</v>
      </c>
      <c r="N2" s="42">
        <f t="shared" ref="N2:N20" ca="1" si="6">SUM(L2:M2)</f>
        <v>30000</v>
      </c>
      <c r="O2" s="38">
        <f t="shared" ref="O2:O14" ca="1" si="7">INDIRECT("'"&amp;E2&amp;"'!b26")</f>
        <v>5</v>
      </c>
    </row>
    <row r="3" spans="1:15" x14ac:dyDescent="0.15">
      <c r="A3" s="172" t="s">
        <v>39</v>
      </c>
      <c r="B3" s="172" t="s">
        <v>40</v>
      </c>
      <c r="C3" s="172">
        <v>1</v>
      </c>
      <c r="D3" s="172"/>
      <c r="E3" s="173" t="str">
        <f>各クラスの教科書などの集計!A4</f>
        <v>一般1年生 (情報処理技術学科3年課程)</v>
      </c>
      <c r="F3" s="172"/>
      <c r="G3" s="172"/>
      <c r="H3" s="34">
        <f t="shared" ca="1" si="0"/>
        <v>10950</v>
      </c>
      <c r="I3" s="34">
        <f t="shared" ca="1" si="1"/>
        <v>2000</v>
      </c>
      <c r="J3" s="34">
        <f t="shared" ca="1" si="2"/>
        <v>5700</v>
      </c>
      <c r="K3" s="34">
        <f t="shared" ca="1" si="3"/>
        <v>10700</v>
      </c>
      <c r="L3" s="34">
        <f t="shared" ca="1" si="4"/>
        <v>29350</v>
      </c>
      <c r="M3" s="34">
        <f t="shared" ca="1" si="5"/>
        <v>150</v>
      </c>
      <c r="N3" s="34">
        <f t="shared" ca="1" si="6"/>
        <v>29500</v>
      </c>
      <c r="O3" s="173">
        <f t="shared" ca="1" si="7"/>
        <v>5</v>
      </c>
    </row>
    <row r="4" spans="1:15" x14ac:dyDescent="0.15">
      <c r="A4" s="172" t="s">
        <v>39</v>
      </c>
      <c r="B4" s="172" t="s">
        <v>40</v>
      </c>
      <c r="C4" s="172">
        <v>2</v>
      </c>
      <c r="D4" s="172"/>
      <c r="E4" s="173" t="str">
        <f>各クラスの教科書などの集計!A5</f>
        <v>一般2年生 (情報処理技術学科2年課程)</v>
      </c>
      <c r="F4" s="172"/>
      <c r="G4" s="172"/>
      <c r="H4" s="34">
        <f t="shared" ca="1" si="0"/>
        <v>0</v>
      </c>
      <c r="I4" s="34">
        <f t="shared" ca="1" si="1"/>
        <v>3500</v>
      </c>
      <c r="J4" s="34">
        <f t="shared" ca="1" si="2"/>
        <v>5700</v>
      </c>
      <c r="K4" s="34">
        <f t="shared" ca="1" si="3"/>
        <v>17500</v>
      </c>
      <c r="L4" s="34">
        <f t="shared" ca="1" si="4"/>
        <v>26700</v>
      </c>
      <c r="M4" s="34">
        <f t="shared" ca="1" si="5"/>
        <v>300</v>
      </c>
      <c r="N4" s="34">
        <f t="shared" ca="1" si="6"/>
        <v>27000</v>
      </c>
      <c r="O4" s="173">
        <f t="shared" ca="1" si="7"/>
        <v>0</v>
      </c>
    </row>
    <row r="5" spans="1:15" x14ac:dyDescent="0.15">
      <c r="A5" s="172" t="s">
        <v>39</v>
      </c>
      <c r="B5" s="172" t="s">
        <v>40</v>
      </c>
      <c r="C5" s="172">
        <v>2</v>
      </c>
      <c r="D5" s="172"/>
      <c r="E5" s="173" t="str">
        <f>各クラスの教科書などの集計!A6</f>
        <v>一般2年生 (情報システム学科3年課程)</v>
      </c>
      <c r="F5" s="172"/>
      <c r="G5" s="172"/>
      <c r="H5" s="34">
        <f t="shared" ca="1" si="0"/>
        <v>2700</v>
      </c>
      <c r="I5" s="34">
        <f t="shared" ca="1" si="1"/>
        <v>0</v>
      </c>
      <c r="J5" s="34">
        <f t="shared" ca="1" si="2"/>
        <v>5700</v>
      </c>
      <c r="K5" s="34">
        <f t="shared" ca="1" si="3"/>
        <v>8200</v>
      </c>
      <c r="L5" s="34">
        <f t="shared" ca="1" si="4"/>
        <v>16600</v>
      </c>
      <c r="M5" s="34">
        <f t="shared" ca="1" si="5"/>
        <v>400</v>
      </c>
      <c r="N5" s="34">
        <f t="shared" ca="1" si="6"/>
        <v>17000</v>
      </c>
      <c r="O5" s="173">
        <f t="shared" ca="1" si="7"/>
        <v>1</v>
      </c>
    </row>
    <row r="6" spans="1:15" x14ac:dyDescent="0.15">
      <c r="A6" s="172" t="s">
        <v>39</v>
      </c>
      <c r="B6" s="172" t="s">
        <v>40</v>
      </c>
      <c r="C6" s="172">
        <v>3</v>
      </c>
      <c r="D6" s="172"/>
      <c r="E6" s="173" t="str">
        <f>各クラスの教科書などの集計!A7</f>
        <v>一般3年生(情報システム学科3年課程)</v>
      </c>
      <c r="F6" s="172"/>
      <c r="G6" s="172"/>
      <c r="H6" s="34">
        <f t="shared" ca="1" si="0"/>
        <v>2462</v>
      </c>
      <c r="I6" s="34">
        <f t="shared" ca="1" si="1"/>
        <v>2500</v>
      </c>
      <c r="J6" s="34">
        <f t="shared" ca="1" si="2"/>
        <v>5700</v>
      </c>
      <c r="K6" s="34">
        <f t="shared" ca="1" si="3"/>
        <v>10000</v>
      </c>
      <c r="L6" s="34">
        <f t="shared" ca="1" si="4"/>
        <v>20662</v>
      </c>
      <c r="M6" s="34">
        <f t="shared" ca="1" si="5"/>
        <v>338</v>
      </c>
      <c r="N6" s="34">
        <f t="shared" ca="1" si="6"/>
        <v>21000</v>
      </c>
      <c r="O6" s="173">
        <f t="shared" ca="1" si="7"/>
        <v>1</v>
      </c>
    </row>
    <row r="7" spans="1:15" ht="14.25" thickBot="1" x14ac:dyDescent="0.2">
      <c r="A7" s="177" t="s">
        <v>39</v>
      </c>
      <c r="B7" s="177" t="s">
        <v>40</v>
      </c>
      <c r="C7" s="177">
        <v>3</v>
      </c>
      <c r="D7" s="177"/>
      <c r="E7" s="40" t="str">
        <f>各クラスの教科書などの集計!A8</f>
        <v>一般3年生(経営情報学科)</v>
      </c>
      <c r="F7" s="177"/>
      <c r="G7" s="177"/>
      <c r="H7" s="44">
        <f t="shared" ca="1" si="0"/>
        <v>2462</v>
      </c>
      <c r="I7" s="44">
        <f t="shared" ca="1" si="1"/>
        <v>2000</v>
      </c>
      <c r="J7" s="44">
        <f t="shared" ca="1" si="2"/>
        <v>5700</v>
      </c>
      <c r="K7" s="44">
        <f t="shared" ca="1" si="3"/>
        <v>8200</v>
      </c>
      <c r="L7" s="44">
        <f t="shared" ca="1" si="4"/>
        <v>18362</v>
      </c>
      <c r="M7" s="44">
        <f t="shared" ca="1" si="5"/>
        <v>138</v>
      </c>
      <c r="N7" s="44">
        <f t="shared" ca="1" si="6"/>
        <v>18500</v>
      </c>
      <c r="O7" s="40">
        <f t="shared" ca="1" si="7"/>
        <v>1</v>
      </c>
    </row>
    <row r="8" spans="1:15" ht="14.25" thickTop="1" x14ac:dyDescent="0.15">
      <c r="A8" s="179" t="s">
        <v>41</v>
      </c>
      <c r="B8" s="179" t="s">
        <v>389</v>
      </c>
      <c r="C8" s="179">
        <v>1</v>
      </c>
      <c r="D8" s="179"/>
      <c r="E8" s="178" t="str">
        <f>各クラスの教科書などの集計!A9</f>
        <v>一般1年生 (情報ビジネス学科　2年課程)</v>
      </c>
      <c r="F8" s="179"/>
      <c r="G8" s="179"/>
      <c r="H8" s="180">
        <f t="shared" ca="1" si="0"/>
        <v>11858</v>
      </c>
      <c r="I8" s="180">
        <f t="shared" ca="1" si="1"/>
        <v>2000</v>
      </c>
      <c r="J8" s="180">
        <f t="shared" ca="1" si="2"/>
        <v>0</v>
      </c>
      <c r="K8" s="180">
        <f t="shared" ca="1" si="3"/>
        <v>5000</v>
      </c>
      <c r="L8" s="180">
        <f t="shared" ca="1" si="4"/>
        <v>18858</v>
      </c>
      <c r="M8" s="180">
        <f t="shared" ca="1" si="5"/>
        <v>142</v>
      </c>
      <c r="N8" s="180">
        <f t="shared" ca="1" si="6"/>
        <v>19000</v>
      </c>
      <c r="O8" s="178">
        <f t="shared" ca="1" si="7"/>
        <v>9</v>
      </c>
    </row>
    <row r="9" spans="1:15" x14ac:dyDescent="0.15">
      <c r="A9" s="172" t="s">
        <v>41</v>
      </c>
      <c r="B9" s="172" t="s">
        <v>389</v>
      </c>
      <c r="C9" s="172">
        <v>2</v>
      </c>
      <c r="D9" s="172"/>
      <c r="E9" s="173" t="str">
        <f>各クラスの教科書などの集計!A10</f>
        <v>一般2年生 (情報ビジネス学科　2年課程)</v>
      </c>
      <c r="F9" s="172"/>
      <c r="G9" s="172"/>
      <c r="H9" s="34">
        <f t="shared" ca="1" si="0"/>
        <v>8552</v>
      </c>
      <c r="I9" s="34">
        <f t="shared" ca="1" si="1"/>
        <v>1500</v>
      </c>
      <c r="J9" s="34">
        <f t="shared" ca="1" si="2"/>
        <v>0</v>
      </c>
      <c r="K9" s="34">
        <f t="shared" ca="1" si="3"/>
        <v>6800</v>
      </c>
      <c r="L9" s="34">
        <f t="shared" ca="1" si="4"/>
        <v>16852</v>
      </c>
      <c r="M9" s="34">
        <f t="shared" ca="1" si="5"/>
        <v>148</v>
      </c>
      <c r="N9" s="34">
        <f t="shared" ca="1" si="6"/>
        <v>17000</v>
      </c>
      <c r="O9" s="173">
        <f t="shared" ca="1" si="7"/>
        <v>6</v>
      </c>
    </row>
    <row r="10" spans="1:15" x14ac:dyDescent="0.15">
      <c r="A10" s="172" t="s">
        <v>41</v>
      </c>
      <c r="B10" s="172" t="s">
        <v>389</v>
      </c>
      <c r="C10" s="172">
        <v>1</v>
      </c>
      <c r="D10" s="172"/>
      <c r="E10" s="173" t="str">
        <f>各クラスの教科書などの集計!A11</f>
        <v>一般1年生 (情報社会学科　1年課程)</v>
      </c>
      <c r="F10" s="172"/>
      <c r="G10" s="172"/>
      <c r="H10" s="34">
        <f t="shared" ca="1" si="0"/>
        <v>14342</v>
      </c>
      <c r="I10" s="34">
        <f t="shared" ca="1" si="1"/>
        <v>2000</v>
      </c>
      <c r="J10" s="34">
        <f t="shared" ca="1" si="2"/>
        <v>0</v>
      </c>
      <c r="K10" s="34">
        <f t="shared" ca="1" si="3"/>
        <v>6800</v>
      </c>
      <c r="L10" s="34">
        <f t="shared" ca="1" si="4"/>
        <v>23142</v>
      </c>
      <c r="M10" s="34">
        <f t="shared" ca="1" si="5"/>
        <v>358</v>
      </c>
      <c r="N10" s="34">
        <f t="shared" ca="1" si="6"/>
        <v>23500</v>
      </c>
      <c r="O10" s="173">
        <f t="shared" ca="1" si="7"/>
        <v>10</v>
      </c>
    </row>
    <row r="11" spans="1:15" x14ac:dyDescent="0.15">
      <c r="A11" s="172" t="s">
        <v>41</v>
      </c>
      <c r="B11" s="172" t="s">
        <v>390</v>
      </c>
      <c r="C11" s="172">
        <v>1</v>
      </c>
      <c r="D11" s="172"/>
      <c r="E11" s="173" t="str">
        <f>各クラスの教科書などの集計!A12</f>
        <v>アスリート1年生</v>
      </c>
      <c r="F11" s="172"/>
      <c r="G11" s="172"/>
      <c r="H11" s="34">
        <f t="shared" ca="1" si="0"/>
        <v>6242</v>
      </c>
      <c r="I11" s="34">
        <f t="shared" ca="1" si="1"/>
        <v>2000</v>
      </c>
      <c r="J11" s="34">
        <f t="shared" ca="1" si="2"/>
        <v>0</v>
      </c>
      <c r="K11" s="34">
        <f t="shared" ca="1" si="3"/>
        <v>5000</v>
      </c>
      <c r="L11" s="34">
        <f t="shared" ca="1" si="4"/>
        <v>13242</v>
      </c>
      <c r="M11" s="34">
        <f t="shared" ca="1" si="5"/>
        <v>258</v>
      </c>
      <c r="N11" s="34">
        <f t="shared" ca="1" si="6"/>
        <v>13500</v>
      </c>
      <c r="O11" s="173">
        <f t="shared" ca="1" si="7"/>
        <v>6</v>
      </c>
    </row>
    <row r="12" spans="1:15" x14ac:dyDescent="0.15">
      <c r="A12" s="172" t="s">
        <v>41</v>
      </c>
      <c r="B12" s="172" t="s">
        <v>390</v>
      </c>
      <c r="C12" s="172">
        <v>1</v>
      </c>
      <c r="D12" s="172"/>
      <c r="E12" s="173" t="str">
        <f>各クラスの教科書などの集計!A13</f>
        <v>アスリート1年生女子</v>
      </c>
      <c r="F12" s="172" t="s">
        <v>402</v>
      </c>
      <c r="G12" s="172"/>
      <c r="H12" s="34">
        <f t="shared" ca="1" si="0"/>
        <v>8618</v>
      </c>
      <c r="I12" s="34">
        <f t="shared" ca="1" si="1"/>
        <v>1000</v>
      </c>
      <c r="J12" s="34">
        <f t="shared" ca="1" si="2"/>
        <v>0</v>
      </c>
      <c r="K12" s="34">
        <f t="shared" ca="1" si="3"/>
        <v>5000</v>
      </c>
      <c r="L12" s="34">
        <f t="shared" ca="1" si="4"/>
        <v>14618</v>
      </c>
      <c r="M12" s="34">
        <f t="shared" ca="1" si="5"/>
        <v>382</v>
      </c>
      <c r="N12" s="34">
        <f t="shared" ca="1" si="6"/>
        <v>15000</v>
      </c>
      <c r="O12" s="173">
        <f t="shared" ca="1" si="7"/>
        <v>9</v>
      </c>
    </row>
    <row r="13" spans="1:15" x14ac:dyDescent="0.15">
      <c r="A13" s="172" t="s">
        <v>41</v>
      </c>
      <c r="B13" s="172" t="s">
        <v>390</v>
      </c>
      <c r="C13" s="172">
        <v>2</v>
      </c>
      <c r="D13" s="172"/>
      <c r="E13" s="173" t="str">
        <f>各クラスの教科書などの集計!A14</f>
        <v>アスリート2年生</v>
      </c>
      <c r="F13" s="172"/>
      <c r="G13" s="172"/>
      <c r="H13" s="34">
        <f t="shared" ca="1" si="0"/>
        <v>10730</v>
      </c>
      <c r="I13" s="34">
        <f t="shared" ca="1" si="1"/>
        <v>1500</v>
      </c>
      <c r="J13" s="34">
        <f t="shared" ca="1" si="2"/>
        <v>0</v>
      </c>
      <c r="K13" s="34">
        <f t="shared" ca="1" si="3"/>
        <v>5000</v>
      </c>
      <c r="L13" s="34">
        <f t="shared" ca="1" si="4"/>
        <v>17230</v>
      </c>
      <c r="M13" s="34">
        <f t="shared" ca="1" si="5"/>
        <v>270</v>
      </c>
      <c r="N13" s="34">
        <f t="shared" ca="1" si="6"/>
        <v>17500</v>
      </c>
      <c r="O13" s="173">
        <f t="shared" ca="1" si="7"/>
        <v>6</v>
      </c>
    </row>
    <row r="14" spans="1:15" ht="14.25" thickBot="1" x14ac:dyDescent="0.2">
      <c r="A14" s="177" t="s">
        <v>41</v>
      </c>
      <c r="B14" s="177" t="s">
        <v>390</v>
      </c>
      <c r="C14" s="177">
        <v>3</v>
      </c>
      <c r="D14" s="177"/>
      <c r="E14" s="40" t="str">
        <f>各クラスの教科書などの集計!A15</f>
        <v>アスリート3年生</v>
      </c>
      <c r="F14" s="177"/>
      <c r="G14" s="177"/>
      <c r="H14" s="44">
        <f t="shared" ca="1" si="0"/>
        <v>9092</v>
      </c>
      <c r="I14" s="44">
        <f t="shared" ca="1" si="1"/>
        <v>1500</v>
      </c>
      <c r="J14" s="44">
        <f t="shared" ca="1" si="2"/>
        <v>0</v>
      </c>
      <c r="K14" s="44">
        <f t="shared" ca="1" si="3"/>
        <v>6800</v>
      </c>
      <c r="L14" s="44">
        <f t="shared" ca="1" si="4"/>
        <v>17392</v>
      </c>
      <c r="M14" s="44">
        <f t="shared" ca="1" si="5"/>
        <v>108</v>
      </c>
      <c r="N14" s="44">
        <f t="shared" ca="1" si="6"/>
        <v>17500</v>
      </c>
      <c r="O14" s="40">
        <f t="shared" ca="1" si="7"/>
        <v>5</v>
      </c>
    </row>
    <row r="15" spans="1:15" ht="14.25" thickTop="1" x14ac:dyDescent="0.15">
      <c r="A15" s="176" t="s">
        <v>39</v>
      </c>
      <c r="B15" s="176" t="s">
        <v>42</v>
      </c>
      <c r="C15" s="176">
        <v>1</v>
      </c>
      <c r="D15" s="176"/>
      <c r="E15" s="38" t="str">
        <f>各クラスの教科書などの集計!A16</f>
        <v>留学生1年生</v>
      </c>
      <c r="F15" s="176"/>
      <c r="G15" s="176"/>
      <c r="H15" s="42">
        <f>留学生1年生!F25</f>
        <v>8458</v>
      </c>
      <c r="I15" s="42">
        <f>留学生1年生!E29</f>
        <v>1042</v>
      </c>
      <c r="J15" s="42">
        <f t="shared" ref="J15:J20" si="8">nihonngonouoryokuninteisikendai</f>
        <v>5500</v>
      </c>
      <c r="K15" s="42">
        <f>留学生1年生!E39</f>
        <v>5000</v>
      </c>
      <c r="L15" s="42">
        <f t="shared" si="4"/>
        <v>20000</v>
      </c>
      <c r="M15" s="42">
        <f t="shared" si="5"/>
        <v>0</v>
      </c>
      <c r="N15" s="42">
        <f t="shared" si="6"/>
        <v>20000</v>
      </c>
      <c r="O15" s="38">
        <f t="shared" ref="O15:O20" ca="1" si="9">INDIRECT("'"&amp;E15&amp;"'!b25")</f>
        <v>4</v>
      </c>
    </row>
    <row r="16" spans="1:15" x14ac:dyDescent="0.15">
      <c r="A16" s="172" t="s">
        <v>39</v>
      </c>
      <c r="B16" s="172" t="s">
        <v>42</v>
      </c>
      <c r="C16" s="172">
        <v>2</v>
      </c>
      <c r="D16" s="172"/>
      <c r="E16" s="173" t="str">
        <f>各クラスの教科書などの集計!A17</f>
        <v>留学生2年生</v>
      </c>
      <c r="F16" s="172"/>
      <c r="G16" s="172"/>
      <c r="H16" s="34">
        <f>留学生2年生!F25</f>
        <v>10628</v>
      </c>
      <c r="I16" s="34">
        <f>留学生2年生!E27</f>
        <v>0</v>
      </c>
      <c r="J16" s="34">
        <f t="shared" si="8"/>
        <v>5500</v>
      </c>
      <c r="K16" s="34">
        <f>留学生2年生!E39</f>
        <v>2500</v>
      </c>
      <c r="L16" s="34">
        <f t="shared" si="4"/>
        <v>18628</v>
      </c>
      <c r="M16" s="34">
        <f t="shared" si="5"/>
        <v>372</v>
      </c>
      <c r="N16" s="34">
        <f t="shared" si="6"/>
        <v>19000</v>
      </c>
      <c r="O16" s="173">
        <f t="shared" ca="1" si="9"/>
        <v>0</v>
      </c>
    </row>
    <row r="17" spans="1:15" x14ac:dyDescent="0.15">
      <c r="A17" s="172" t="s">
        <v>39</v>
      </c>
      <c r="B17" s="172" t="s">
        <v>42</v>
      </c>
      <c r="C17" s="172">
        <v>3</v>
      </c>
      <c r="D17" s="172"/>
      <c r="E17" s="173" t="str">
        <f>各クラスの教科書などの集計!A18</f>
        <v>留学生3年生</v>
      </c>
      <c r="F17" s="172"/>
      <c r="G17" s="172"/>
      <c r="H17" s="34">
        <f>留学生3年生!G26</f>
        <v>2160</v>
      </c>
      <c r="I17" s="34">
        <f>留学生3年生!E29</f>
        <v>0</v>
      </c>
      <c r="J17" s="34">
        <f t="shared" si="8"/>
        <v>5500</v>
      </c>
      <c r="K17" s="34">
        <f>留学生3年生!E39</f>
        <v>2500</v>
      </c>
      <c r="L17" s="34">
        <f t="shared" si="4"/>
        <v>10160</v>
      </c>
      <c r="M17" s="34">
        <f t="shared" si="5"/>
        <v>340</v>
      </c>
      <c r="N17" s="34">
        <f t="shared" si="6"/>
        <v>10500</v>
      </c>
      <c r="O17" s="173">
        <f t="shared" ca="1" si="9"/>
        <v>0</v>
      </c>
    </row>
    <row r="18" spans="1:15" x14ac:dyDescent="0.15">
      <c r="A18" s="172" t="s">
        <v>41</v>
      </c>
      <c r="B18" s="172" t="s">
        <v>42</v>
      </c>
      <c r="C18" s="172">
        <v>1</v>
      </c>
      <c r="D18" s="172"/>
      <c r="E18" s="173" t="s">
        <v>27</v>
      </c>
      <c r="F18" s="172"/>
      <c r="G18" s="172"/>
      <c r="H18" s="34">
        <f>留学生1年生!G25</f>
        <v>8458</v>
      </c>
      <c r="I18" s="34">
        <f>留学生1年生!E29</f>
        <v>1042</v>
      </c>
      <c r="J18" s="34">
        <f t="shared" si="8"/>
        <v>5500</v>
      </c>
      <c r="K18" s="34">
        <f>留学生1年生!E39</f>
        <v>5000</v>
      </c>
      <c r="L18" s="34">
        <f t="shared" si="4"/>
        <v>20000</v>
      </c>
      <c r="M18" s="34">
        <f t="shared" si="5"/>
        <v>0</v>
      </c>
      <c r="N18" s="34">
        <f t="shared" si="6"/>
        <v>20000</v>
      </c>
      <c r="O18" s="173">
        <f t="shared" ca="1" si="9"/>
        <v>4</v>
      </c>
    </row>
    <row r="19" spans="1:15" x14ac:dyDescent="0.15">
      <c r="A19" s="172" t="s">
        <v>41</v>
      </c>
      <c r="B19" s="172" t="s">
        <v>42</v>
      </c>
      <c r="C19" s="172">
        <v>2</v>
      </c>
      <c r="D19" s="172"/>
      <c r="E19" s="173" t="s">
        <v>28</v>
      </c>
      <c r="F19" s="172"/>
      <c r="G19" s="172"/>
      <c r="H19" s="34">
        <f>留学生2年生!H25</f>
        <v>12334</v>
      </c>
      <c r="I19" s="34">
        <f>留学生2年生!E27</f>
        <v>0</v>
      </c>
      <c r="J19" s="34">
        <f t="shared" si="8"/>
        <v>5500</v>
      </c>
      <c r="K19" s="34">
        <f>留学生2年生!E39</f>
        <v>2500</v>
      </c>
      <c r="L19" s="34">
        <f t="shared" si="4"/>
        <v>20334</v>
      </c>
      <c r="M19" s="34">
        <f t="shared" si="5"/>
        <v>166</v>
      </c>
      <c r="N19" s="34">
        <f t="shared" si="6"/>
        <v>20500</v>
      </c>
      <c r="O19" s="173">
        <f t="shared" ca="1" si="9"/>
        <v>0</v>
      </c>
    </row>
    <row r="20" spans="1:15" x14ac:dyDescent="0.15">
      <c r="A20" s="172" t="s">
        <v>41</v>
      </c>
      <c r="B20" s="172" t="s">
        <v>42</v>
      </c>
      <c r="C20" s="172">
        <v>3</v>
      </c>
      <c r="D20" s="172"/>
      <c r="E20" s="173" t="s">
        <v>29</v>
      </c>
      <c r="F20" s="172"/>
      <c r="G20" s="172">
        <v>47</v>
      </c>
      <c r="H20" s="34">
        <f>留学生3年生!I26</f>
        <v>8358</v>
      </c>
      <c r="I20" s="34">
        <f>留学生3年生!E29</f>
        <v>0</v>
      </c>
      <c r="J20" s="34">
        <f t="shared" si="8"/>
        <v>5500</v>
      </c>
      <c r="K20" s="34">
        <f>留学生3年生!E39</f>
        <v>2500</v>
      </c>
      <c r="L20" s="34">
        <f t="shared" si="4"/>
        <v>16358</v>
      </c>
      <c r="M20" s="34">
        <f t="shared" si="5"/>
        <v>142</v>
      </c>
      <c r="N20" s="34">
        <f t="shared" si="6"/>
        <v>16500</v>
      </c>
      <c r="O20" s="173">
        <f t="shared" ca="1" si="9"/>
        <v>0</v>
      </c>
    </row>
  </sheetData>
  <sheetProtection sheet="1" objects="1" scenario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AC26"/>
  <sheetViews>
    <sheetView tabSelected="1" view="pageBreakPreview" topLeftCell="J2" zoomScale="115" zoomScaleNormal="145" zoomScaleSheetLayoutView="115" workbookViewId="0">
      <selection activeCell="J7" sqref="J7"/>
    </sheetView>
  </sheetViews>
  <sheetFormatPr defaultColWidth="9" defaultRowHeight="13.5" x14ac:dyDescent="0.15"/>
  <cols>
    <col min="1" max="1" width="5.875" style="15" customWidth="1"/>
    <col min="2" max="2" width="35.375" style="15" bestFit="1" customWidth="1"/>
    <col min="3" max="4" width="9" style="15"/>
    <col min="5" max="5" width="9" style="66"/>
    <col min="6" max="6" width="27.125" style="15" bestFit="1" customWidth="1"/>
    <col min="7" max="7" width="9.5" style="15" bestFit="1" customWidth="1"/>
    <col min="8" max="19" width="9" style="15"/>
    <col min="20" max="24" width="11.5" style="15" bestFit="1" customWidth="1"/>
    <col min="25" max="16384" width="9" style="15"/>
  </cols>
  <sheetData>
    <row r="1" spans="1:29" x14ac:dyDescent="0.15">
      <c r="A1" s="15" t="s">
        <v>91</v>
      </c>
      <c r="B1" s="61"/>
      <c r="E1" s="15"/>
    </row>
    <row r="2" spans="1:29" ht="14.25" thickBot="1" x14ac:dyDescent="0.2">
      <c r="B2" s="61"/>
      <c r="E2" s="15"/>
      <c r="F2" s="40" t="s">
        <v>90</v>
      </c>
      <c r="G2" s="63" t="s">
        <v>73</v>
      </c>
      <c r="H2" s="63" t="s">
        <v>74</v>
      </c>
      <c r="I2" s="63" t="s">
        <v>86</v>
      </c>
      <c r="J2" s="63" t="s">
        <v>75</v>
      </c>
      <c r="K2" s="63" t="s">
        <v>76</v>
      </c>
      <c r="L2" s="63" t="s">
        <v>77</v>
      </c>
      <c r="M2" s="63" t="s">
        <v>65</v>
      </c>
      <c r="N2" s="63" t="s">
        <v>49</v>
      </c>
      <c r="O2" s="63" t="s">
        <v>50</v>
      </c>
      <c r="P2" s="63" t="s">
        <v>51</v>
      </c>
      <c r="Q2" s="63" t="s">
        <v>52</v>
      </c>
      <c r="R2" s="63" t="s">
        <v>53</v>
      </c>
      <c r="S2" s="63" t="s">
        <v>54</v>
      </c>
      <c r="T2" s="63" t="s">
        <v>78</v>
      </c>
      <c r="U2" s="63" t="s">
        <v>56</v>
      </c>
      <c r="V2" s="63" t="s">
        <v>57</v>
      </c>
      <c r="W2" s="63" t="s">
        <v>58</v>
      </c>
      <c r="X2" s="63" t="s">
        <v>59</v>
      </c>
      <c r="Y2" s="63" t="s">
        <v>79</v>
      </c>
      <c r="Z2" s="63" t="s">
        <v>80</v>
      </c>
      <c r="AA2" s="63" t="s">
        <v>62</v>
      </c>
      <c r="AB2" s="63" t="s">
        <v>63</v>
      </c>
      <c r="AC2" s="63" t="s">
        <v>64</v>
      </c>
    </row>
    <row r="3" spans="1:29" ht="13.9" customHeight="1" thickTop="1" thickBot="1" x14ac:dyDescent="0.2">
      <c r="A3" s="54" t="s">
        <v>35</v>
      </c>
      <c r="B3" s="55" t="s">
        <v>72</v>
      </c>
      <c r="C3" s="56" t="s">
        <v>5</v>
      </c>
      <c r="E3" s="15"/>
      <c r="F3" s="38" t="s">
        <v>89</v>
      </c>
      <c r="G3" s="42">
        <f>CKGTシャツ代</f>
        <v>2500</v>
      </c>
      <c r="H3" s="42">
        <f>CKGTシャツ代</f>
        <v>2500</v>
      </c>
      <c r="I3" s="42">
        <f>CKGTシャツ代</f>
        <v>2500</v>
      </c>
      <c r="J3" s="42"/>
      <c r="K3" s="42"/>
      <c r="L3" s="42"/>
      <c r="M3" s="42"/>
      <c r="N3" s="42">
        <f t="shared" ref="N3:AC3" si="0">CKGTシャツ代</f>
        <v>2500</v>
      </c>
      <c r="O3" s="42">
        <f t="shared" si="0"/>
        <v>2500</v>
      </c>
      <c r="P3" s="42">
        <f t="shared" si="0"/>
        <v>2500</v>
      </c>
      <c r="Q3" s="42">
        <f t="shared" si="0"/>
        <v>2500</v>
      </c>
      <c r="R3" s="42">
        <f t="shared" si="0"/>
        <v>2500</v>
      </c>
      <c r="S3" s="42">
        <f t="shared" si="0"/>
        <v>2500</v>
      </c>
      <c r="T3" s="42">
        <f t="shared" si="0"/>
        <v>2500</v>
      </c>
      <c r="U3" s="42">
        <f t="shared" si="0"/>
        <v>2500</v>
      </c>
      <c r="V3" s="42">
        <f t="shared" si="0"/>
        <v>2500</v>
      </c>
      <c r="W3" s="42">
        <f t="shared" si="0"/>
        <v>2500</v>
      </c>
      <c r="X3" s="42">
        <f t="shared" si="0"/>
        <v>2500</v>
      </c>
      <c r="Y3" s="42">
        <f t="shared" si="0"/>
        <v>2500</v>
      </c>
      <c r="Z3" s="42">
        <f t="shared" si="0"/>
        <v>2500</v>
      </c>
      <c r="AA3" s="42">
        <f t="shared" si="0"/>
        <v>2500</v>
      </c>
      <c r="AB3" s="42">
        <f t="shared" si="0"/>
        <v>2500</v>
      </c>
      <c r="AC3" s="42">
        <f t="shared" si="0"/>
        <v>2500</v>
      </c>
    </row>
    <row r="4" spans="1:29" ht="13.9" customHeight="1" thickTop="1" x14ac:dyDescent="0.15">
      <c r="A4" s="52" t="s">
        <v>81</v>
      </c>
      <c r="B4" s="53" t="s">
        <v>73</v>
      </c>
      <c r="C4" s="57">
        <f>HLOOKUP(B4,$F$2:$AC$11,10,FALSE)</f>
        <v>6800</v>
      </c>
      <c r="E4" s="15"/>
      <c r="F4" s="37" t="s">
        <v>88</v>
      </c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ht="13.9" customHeight="1" x14ac:dyDescent="0.15">
      <c r="A5" s="49" t="s">
        <v>81</v>
      </c>
      <c r="B5" s="48" t="s">
        <v>74</v>
      </c>
      <c r="C5" s="58">
        <f t="shared" ref="C5:C26" si="1">HLOOKUP(B5,$F$2:$AC$11,10,FALSE)</f>
        <v>6800</v>
      </c>
      <c r="E5" s="15"/>
      <c r="F5" s="37" t="s">
        <v>87</v>
      </c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ht="13.9" customHeight="1" x14ac:dyDescent="0.15">
      <c r="A6" s="49" t="s">
        <v>81</v>
      </c>
      <c r="B6" s="48" t="s">
        <v>86</v>
      </c>
      <c r="C6" s="58">
        <f t="shared" si="1"/>
        <v>6800</v>
      </c>
      <c r="E6" s="15"/>
      <c r="F6" s="37" t="s">
        <v>92</v>
      </c>
      <c r="G6" s="34">
        <f t="shared" ref="G6:AC6" si="2">KENKOSINDANJUSHINN</f>
        <v>2500</v>
      </c>
      <c r="H6" s="34">
        <f t="shared" si="2"/>
        <v>2500</v>
      </c>
      <c r="I6" s="34">
        <f t="shared" si="2"/>
        <v>2500</v>
      </c>
      <c r="J6" s="34">
        <f t="shared" si="2"/>
        <v>2500</v>
      </c>
      <c r="K6" s="34">
        <f t="shared" si="2"/>
        <v>2500</v>
      </c>
      <c r="L6" s="34">
        <f t="shared" si="2"/>
        <v>2500</v>
      </c>
      <c r="M6" s="34">
        <f t="shared" si="2"/>
        <v>2500</v>
      </c>
      <c r="N6" s="34">
        <f t="shared" si="2"/>
        <v>2500</v>
      </c>
      <c r="O6" s="34">
        <f t="shared" si="2"/>
        <v>2500</v>
      </c>
      <c r="P6" s="34">
        <f t="shared" si="2"/>
        <v>2500</v>
      </c>
      <c r="Q6" s="34">
        <f t="shared" si="2"/>
        <v>2500</v>
      </c>
      <c r="R6" s="34">
        <f t="shared" si="2"/>
        <v>2500</v>
      </c>
      <c r="S6" s="34">
        <f t="shared" si="2"/>
        <v>2500</v>
      </c>
      <c r="T6" s="34">
        <f t="shared" si="2"/>
        <v>2500</v>
      </c>
      <c r="U6" s="34">
        <f t="shared" si="2"/>
        <v>2500</v>
      </c>
      <c r="V6" s="34">
        <f t="shared" si="2"/>
        <v>2500</v>
      </c>
      <c r="W6" s="34">
        <f t="shared" si="2"/>
        <v>2500</v>
      </c>
      <c r="X6" s="34">
        <f t="shared" si="2"/>
        <v>2500</v>
      </c>
      <c r="Y6" s="34">
        <f t="shared" si="2"/>
        <v>2500</v>
      </c>
      <c r="Z6" s="34">
        <f t="shared" si="2"/>
        <v>2500</v>
      </c>
      <c r="AA6" s="34">
        <f t="shared" si="2"/>
        <v>2500</v>
      </c>
      <c r="AB6" s="34">
        <f t="shared" si="2"/>
        <v>2500</v>
      </c>
      <c r="AC6" s="34">
        <f t="shared" si="2"/>
        <v>2500</v>
      </c>
    </row>
    <row r="7" spans="1:29" ht="13.9" customHeight="1" x14ac:dyDescent="0.15">
      <c r="A7" s="49" t="s">
        <v>82</v>
      </c>
      <c r="B7" s="48" t="s">
        <v>75</v>
      </c>
      <c r="C7" s="58">
        <f t="shared" si="1"/>
        <v>4300</v>
      </c>
      <c r="E7" s="15"/>
      <c r="F7" s="37" t="s">
        <v>97</v>
      </c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s="65" customFormat="1" ht="13.9" customHeight="1" x14ac:dyDescent="0.15">
      <c r="A8" s="49" t="s">
        <v>82</v>
      </c>
      <c r="B8" s="48" t="s">
        <v>76</v>
      </c>
      <c r="C8" s="58">
        <f t="shared" si="1"/>
        <v>4300</v>
      </c>
      <c r="D8" s="15"/>
      <c r="E8" s="15"/>
      <c r="F8" s="37" t="s">
        <v>98</v>
      </c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  <row r="9" spans="1:29" ht="13.9" customHeight="1" x14ac:dyDescent="0.15">
      <c r="A9" s="49" t="s">
        <v>83</v>
      </c>
      <c r="B9" s="48" t="s">
        <v>77</v>
      </c>
      <c r="C9" s="58">
        <f t="shared" si="1"/>
        <v>4300</v>
      </c>
      <c r="E9" s="15"/>
      <c r="F9" s="67" t="s">
        <v>102</v>
      </c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>
        <f>hokennryou</f>
        <v>1850</v>
      </c>
      <c r="U9" s="68">
        <f>hokennryou</f>
        <v>1850</v>
      </c>
      <c r="V9" s="68">
        <f>hokennryou</f>
        <v>1850</v>
      </c>
      <c r="W9" s="68">
        <f>hokennryou</f>
        <v>1850</v>
      </c>
      <c r="X9" s="68">
        <f>hokennryou</f>
        <v>1850</v>
      </c>
      <c r="Y9" s="68"/>
      <c r="Z9" s="68"/>
      <c r="AA9" s="68"/>
      <c r="AB9" s="68"/>
      <c r="AC9" s="68"/>
    </row>
    <row r="10" spans="1:29" ht="13.9" customHeight="1" thickBot="1" x14ac:dyDescent="0.2">
      <c r="A10" s="49" t="s">
        <v>84</v>
      </c>
      <c r="B10" s="48" t="s">
        <v>65</v>
      </c>
      <c r="C10" s="58">
        <f t="shared" si="1"/>
        <v>4300</v>
      </c>
      <c r="E10" s="15"/>
      <c r="F10" s="43" t="s">
        <v>85</v>
      </c>
      <c r="G10" s="44">
        <f t="shared" ref="G10:AC10" si="3">SOTUGYOUSHASINDAI</f>
        <v>1800</v>
      </c>
      <c r="H10" s="44">
        <f t="shared" si="3"/>
        <v>1800</v>
      </c>
      <c r="I10" s="44">
        <f t="shared" si="3"/>
        <v>1800</v>
      </c>
      <c r="J10" s="44">
        <f t="shared" si="3"/>
        <v>1800</v>
      </c>
      <c r="K10" s="44">
        <f t="shared" si="3"/>
        <v>1800</v>
      </c>
      <c r="L10" s="44">
        <f t="shared" si="3"/>
        <v>1800</v>
      </c>
      <c r="M10" s="44">
        <f t="shared" si="3"/>
        <v>1800</v>
      </c>
      <c r="N10" s="44">
        <f t="shared" si="3"/>
        <v>1800</v>
      </c>
      <c r="O10" s="44">
        <f t="shared" si="3"/>
        <v>1800</v>
      </c>
      <c r="P10" s="44">
        <f t="shared" si="3"/>
        <v>1800</v>
      </c>
      <c r="Q10" s="44">
        <f t="shared" si="3"/>
        <v>1800</v>
      </c>
      <c r="R10" s="44">
        <f t="shared" si="3"/>
        <v>1800</v>
      </c>
      <c r="S10" s="44">
        <f t="shared" si="3"/>
        <v>1800</v>
      </c>
      <c r="T10" s="44">
        <f t="shared" si="3"/>
        <v>1800</v>
      </c>
      <c r="U10" s="44">
        <f t="shared" si="3"/>
        <v>1800</v>
      </c>
      <c r="V10" s="44">
        <f t="shared" si="3"/>
        <v>1800</v>
      </c>
      <c r="W10" s="44">
        <f t="shared" si="3"/>
        <v>1800</v>
      </c>
      <c r="X10" s="44">
        <f t="shared" si="3"/>
        <v>1800</v>
      </c>
      <c r="Y10" s="44">
        <f t="shared" si="3"/>
        <v>1800</v>
      </c>
      <c r="Z10" s="44">
        <f t="shared" si="3"/>
        <v>1800</v>
      </c>
      <c r="AA10" s="44">
        <f t="shared" si="3"/>
        <v>1800</v>
      </c>
      <c r="AB10" s="44">
        <f t="shared" si="3"/>
        <v>1800</v>
      </c>
      <c r="AC10" s="44">
        <f t="shared" si="3"/>
        <v>1800</v>
      </c>
    </row>
    <row r="11" spans="1:29" ht="13.9" customHeight="1" thickTop="1" x14ac:dyDescent="0.15">
      <c r="A11" s="49" t="s">
        <v>81</v>
      </c>
      <c r="B11" s="48" t="s">
        <v>49</v>
      </c>
      <c r="C11" s="58">
        <f t="shared" si="1"/>
        <v>6800</v>
      </c>
      <c r="E11" s="66" t="s">
        <v>96</v>
      </c>
      <c r="F11" s="41" t="s">
        <v>5</v>
      </c>
      <c r="G11" s="62">
        <f t="shared" ref="G11:AC11" si="4">SUM(G3:G10)</f>
        <v>6800</v>
      </c>
      <c r="H11" s="62">
        <f t="shared" si="4"/>
        <v>6800</v>
      </c>
      <c r="I11" s="62">
        <f t="shared" si="4"/>
        <v>6800</v>
      </c>
      <c r="J11" s="62">
        <f t="shared" si="4"/>
        <v>4300</v>
      </c>
      <c r="K11" s="62">
        <f t="shared" si="4"/>
        <v>4300</v>
      </c>
      <c r="L11" s="62">
        <f t="shared" si="4"/>
        <v>4300</v>
      </c>
      <c r="M11" s="62">
        <f t="shared" si="4"/>
        <v>4300</v>
      </c>
      <c r="N11" s="62">
        <f t="shared" si="4"/>
        <v>6800</v>
      </c>
      <c r="O11" s="62">
        <f t="shared" si="4"/>
        <v>6800</v>
      </c>
      <c r="P11" s="62">
        <f t="shared" si="4"/>
        <v>6800</v>
      </c>
      <c r="Q11" s="62">
        <f t="shared" si="4"/>
        <v>6800</v>
      </c>
      <c r="R11" s="62">
        <f t="shared" si="4"/>
        <v>6800</v>
      </c>
      <c r="S11" s="62">
        <f t="shared" si="4"/>
        <v>6800</v>
      </c>
      <c r="T11" s="62">
        <f t="shared" si="4"/>
        <v>8650</v>
      </c>
      <c r="U11" s="62">
        <f t="shared" si="4"/>
        <v>8650</v>
      </c>
      <c r="V11" s="62">
        <f t="shared" si="4"/>
        <v>8650</v>
      </c>
      <c r="W11" s="62">
        <f t="shared" si="4"/>
        <v>8650</v>
      </c>
      <c r="X11" s="62">
        <f t="shared" si="4"/>
        <v>8650</v>
      </c>
      <c r="Y11" s="62">
        <f t="shared" si="4"/>
        <v>6800</v>
      </c>
      <c r="Z11" s="62">
        <f t="shared" si="4"/>
        <v>6800</v>
      </c>
      <c r="AA11" s="62">
        <f t="shared" si="4"/>
        <v>6800</v>
      </c>
      <c r="AB11" s="62">
        <f t="shared" si="4"/>
        <v>6800</v>
      </c>
      <c r="AC11" s="62">
        <f t="shared" si="4"/>
        <v>6800</v>
      </c>
    </row>
    <row r="12" spans="1:29" ht="13.9" customHeight="1" x14ac:dyDescent="0.15">
      <c r="A12" s="49" t="s">
        <v>81</v>
      </c>
      <c r="B12" s="48" t="s">
        <v>50</v>
      </c>
      <c r="C12" s="58">
        <f t="shared" si="1"/>
        <v>6800</v>
      </c>
    </row>
    <row r="13" spans="1:29" ht="13.9" customHeight="1" x14ac:dyDescent="0.15">
      <c r="A13" s="49" t="s">
        <v>82</v>
      </c>
      <c r="B13" s="48" t="s">
        <v>51</v>
      </c>
      <c r="C13" s="58">
        <f t="shared" si="1"/>
        <v>6800</v>
      </c>
      <c r="F13" s="10" t="s">
        <v>386</v>
      </c>
    </row>
    <row r="14" spans="1:29" ht="13.9" customHeight="1" x14ac:dyDescent="0.15">
      <c r="A14" s="49" t="s">
        <v>81</v>
      </c>
      <c r="B14" s="48" t="s">
        <v>52</v>
      </c>
      <c r="C14" s="58">
        <f t="shared" si="1"/>
        <v>6800</v>
      </c>
      <c r="E14" s="66" t="s">
        <v>96</v>
      </c>
      <c r="F14" s="10" t="s">
        <v>94</v>
      </c>
    </row>
    <row r="15" spans="1:29" ht="13.9" customHeight="1" x14ac:dyDescent="0.15">
      <c r="A15" s="49" t="s">
        <v>82</v>
      </c>
      <c r="B15" s="48" t="s">
        <v>53</v>
      </c>
      <c r="C15" s="58">
        <f t="shared" si="1"/>
        <v>6800</v>
      </c>
      <c r="F15" s="10" t="s">
        <v>95</v>
      </c>
    </row>
    <row r="16" spans="1:29" ht="13.9" customHeight="1" x14ac:dyDescent="0.15">
      <c r="A16" s="49" t="s">
        <v>81</v>
      </c>
      <c r="B16" s="48" t="s">
        <v>54</v>
      </c>
      <c r="C16" s="58">
        <f t="shared" si="1"/>
        <v>6800</v>
      </c>
      <c r="F16" s="10" t="s">
        <v>93</v>
      </c>
      <c r="T16" s="15">
        <f>500-184+34</f>
        <v>350</v>
      </c>
    </row>
    <row r="17" spans="1:7" ht="13.9" customHeight="1" x14ac:dyDescent="0.15">
      <c r="A17" s="49" t="s">
        <v>81</v>
      </c>
      <c r="B17" s="48" t="s">
        <v>78</v>
      </c>
      <c r="C17" s="58">
        <f t="shared" si="1"/>
        <v>8650</v>
      </c>
      <c r="F17" s="10"/>
    </row>
    <row r="18" spans="1:7" ht="13.9" customHeight="1" x14ac:dyDescent="0.15">
      <c r="A18" s="49" t="s">
        <v>81</v>
      </c>
      <c r="B18" s="48" t="s">
        <v>56</v>
      </c>
      <c r="C18" s="58">
        <f t="shared" si="1"/>
        <v>8650</v>
      </c>
    </row>
    <row r="19" spans="1:7" ht="13.9" customHeight="1" x14ac:dyDescent="0.15">
      <c r="A19" s="49" t="s">
        <v>82</v>
      </c>
      <c r="B19" s="48" t="s">
        <v>57</v>
      </c>
      <c r="C19" s="58">
        <f t="shared" si="1"/>
        <v>8650</v>
      </c>
    </row>
    <row r="20" spans="1:7" ht="13.9" customHeight="1" x14ac:dyDescent="0.15">
      <c r="A20" s="49" t="s">
        <v>82</v>
      </c>
      <c r="B20" s="48" t="s">
        <v>58</v>
      </c>
      <c r="C20" s="58">
        <f t="shared" si="1"/>
        <v>8650</v>
      </c>
    </row>
    <row r="21" spans="1:7" ht="13.9" customHeight="1" x14ac:dyDescent="0.15">
      <c r="A21" s="49" t="s">
        <v>83</v>
      </c>
      <c r="B21" s="48" t="s">
        <v>59</v>
      </c>
      <c r="C21" s="58">
        <f t="shared" si="1"/>
        <v>8650</v>
      </c>
      <c r="F21" s="15" t="s">
        <v>362</v>
      </c>
      <c r="G21" s="157">
        <v>2500</v>
      </c>
    </row>
    <row r="22" spans="1:7" ht="13.9" customHeight="1" x14ac:dyDescent="0.15">
      <c r="A22" s="49" t="s">
        <v>81</v>
      </c>
      <c r="B22" s="48" t="s">
        <v>79</v>
      </c>
      <c r="C22" s="58">
        <f t="shared" si="1"/>
        <v>6800</v>
      </c>
      <c r="F22" s="15" t="s">
        <v>363</v>
      </c>
      <c r="G22" s="157">
        <v>2500</v>
      </c>
    </row>
    <row r="23" spans="1:7" ht="13.9" customHeight="1" x14ac:dyDescent="0.15">
      <c r="A23" s="49" t="s">
        <v>81</v>
      </c>
      <c r="B23" s="48" t="s">
        <v>80</v>
      </c>
      <c r="C23" s="58">
        <f t="shared" si="1"/>
        <v>6800</v>
      </c>
      <c r="F23" s="15" t="s">
        <v>369</v>
      </c>
      <c r="G23" s="157">
        <v>1800</v>
      </c>
    </row>
    <row r="24" spans="1:7" ht="13.9" customHeight="1" x14ac:dyDescent="0.15">
      <c r="A24" s="49" t="s">
        <v>82</v>
      </c>
      <c r="B24" s="48" t="s">
        <v>62</v>
      </c>
      <c r="C24" s="58">
        <f t="shared" si="1"/>
        <v>6800</v>
      </c>
      <c r="F24" s="10" t="s">
        <v>391</v>
      </c>
      <c r="G24" s="8">
        <v>5700</v>
      </c>
    </row>
    <row r="25" spans="1:7" ht="13.9" customHeight="1" x14ac:dyDescent="0.15">
      <c r="A25" s="49" t="s">
        <v>82</v>
      </c>
      <c r="B25" s="48" t="s">
        <v>63</v>
      </c>
      <c r="C25" s="58">
        <f t="shared" si="1"/>
        <v>6800</v>
      </c>
      <c r="F25" s="10" t="s">
        <v>392</v>
      </c>
      <c r="G25" s="171">
        <v>5500</v>
      </c>
    </row>
    <row r="26" spans="1:7" ht="13.9" customHeight="1" thickBot="1" x14ac:dyDescent="0.2">
      <c r="A26" s="50" t="s">
        <v>83</v>
      </c>
      <c r="B26" s="51" t="s">
        <v>64</v>
      </c>
      <c r="C26" s="59">
        <f t="shared" si="1"/>
        <v>6800</v>
      </c>
      <c r="F26" s="10" t="s">
        <v>393</v>
      </c>
      <c r="G26" s="171">
        <v>1850</v>
      </c>
    </row>
  </sheetData>
  <customSheetViews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8C3311D4-BF6B-4714-8FEE-EF832EA44719}" scale="85" showPageBreaks="1" view="pageBreakPreview" topLeftCell="E1">
      <selection activeCell="N7" sqref="N7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51"/>
  <sheetViews>
    <sheetView view="pageBreakPreview" zoomScale="85" zoomScaleNormal="40" zoomScaleSheetLayoutView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5" sqref="B15"/>
    </sheetView>
  </sheetViews>
  <sheetFormatPr defaultColWidth="9" defaultRowHeight="13.5" x14ac:dyDescent="0.15"/>
  <cols>
    <col min="1" max="1" width="9" style="82"/>
    <col min="2" max="2" width="76.875" style="82" bestFit="1" customWidth="1"/>
    <col min="3" max="3" width="34.25" style="82" customWidth="1"/>
    <col min="4" max="4" width="11.125" style="82" bestFit="1" customWidth="1"/>
    <col min="5" max="5" width="9" style="82"/>
    <col min="6" max="12" width="5" style="82" customWidth="1"/>
    <col min="13" max="13" width="5" style="82" customWidth="1" collapsed="1"/>
    <col min="14" max="18" width="5" style="82" customWidth="1"/>
    <col min="19" max="19" width="5" style="82" customWidth="1" collapsed="1"/>
    <col min="20" max="28" width="5" style="82" customWidth="1"/>
    <col min="29" max="29" width="26.125" style="82" customWidth="1"/>
    <col min="30" max="16384" width="9" style="82"/>
  </cols>
  <sheetData>
    <row r="1" spans="1:28" ht="81.75" thickBot="1" x14ac:dyDescent="0.2">
      <c r="A1" s="159" t="s">
        <v>71</v>
      </c>
      <c r="B1" s="96" t="s">
        <v>1</v>
      </c>
      <c r="C1" s="96" t="s">
        <v>2</v>
      </c>
      <c r="D1" s="96" t="s">
        <v>3</v>
      </c>
      <c r="E1" s="96" t="s">
        <v>43</v>
      </c>
      <c r="F1" s="97" t="s">
        <v>44</v>
      </c>
      <c r="G1" s="97" t="s">
        <v>45</v>
      </c>
      <c r="H1" s="97" t="s">
        <v>66</v>
      </c>
      <c r="I1" s="97" t="s">
        <v>46</v>
      </c>
      <c r="J1" s="97" t="s">
        <v>47</v>
      </c>
      <c r="K1" s="97" t="s">
        <v>48</v>
      </c>
      <c r="L1" s="97" t="s">
        <v>65</v>
      </c>
      <c r="M1" s="97" t="s">
        <v>49</v>
      </c>
      <c r="N1" s="97" t="s">
        <v>50</v>
      </c>
      <c r="O1" s="97" t="s">
        <v>51</v>
      </c>
      <c r="P1" s="97" t="s">
        <v>52</v>
      </c>
      <c r="Q1" s="97" t="s">
        <v>53</v>
      </c>
      <c r="R1" s="97" t="s">
        <v>54</v>
      </c>
      <c r="S1" s="97" t="s">
        <v>55</v>
      </c>
      <c r="T1" s="97" t="s">
        <v>56</v>
      </c>
      <c r="U1" s="97" t="s">
        <v>57</v>
      </c>
      <c r="V1" s="97" t="s">
        <v>58</v>
      </c>
      <c r="W1" s="97" t="s">
        <v>59</v>
      </c>
      <c r="X1" s="97" t="s">
        <v>60</v>
      </c>
      <c r="Y1" s="97" t="s">
        <v>61</v>
      </c>
      <c r="Z1" s="97" t="s">
        <v>62</v>
      </c>
      <c r="AA1" s="97" t="s">
        <v>63</v>
      </c>
      <c r="AB1" s="97" t="s">
        <v>64</v>
      </c>
    </row>
    <row r="2" spans="1:28" ht="14.25" thickTop="1" x14ac:dyDescent="0.15">
      <c r="A2" s="160"/>
      <c r="B2" s="161"/>
      <c r="C2" s="161"/>
      <c r="D2" s="161"/>
      <c r="E2" s="161" t="s">
        <v>247</v>
      </c>
      <c r="F2" s="162"/>
      <c r="G2" s="162"/>
      <c r="H2" s="162"/>
      <c r="I2" s="163"/>
      <c r="J2" s="163"/>
      <c r="K2" s="163"/>
      <c r="L2" s="163"/>
      <c r="M2" s="162"/>
      <c r="N2" s="162"/>
      <c r="O2" s="163"/>
      <c r="P2" s="163"/>
      <c r="Q2" s="163"/>
      <c r="R2" s="162"/>
      <c r="S2" s="162"/>
      <c r="T2" s="162"/>
      <c r="U2" s="163"/>
      <c r="V2" s="163"/>
      <c r="W2" s="163"/>
      <c r="X2" s="163"/>
      <c r="Y2" s="163"/>
      <c r="Z2" s="163"/>
      <c r="AA2" s="163"/>
      <c r="AB2" s="163"/>
    </row>
    <row r="3" spans="1:28" ht="14.25" thickBot="1" x14ac:dyDescent="0.2">
      <c r="A3" s="10"/>
      <c r="B3" s="26"/>
      <c r="C3" s="26"/>
      <c r="D3" s="26"/>
      <c r="E3" s="39" t="s">
        <v>69</v>
      </c>
      <c r="F3" s="91">
        <f t="shared" ref="F3:AB3" si="0">COUNTA(F5:F47)</f>
        <v>0</v>
      </c>
      <c r="G3" s="91">
        <f t="shared" si="0"/>
        <v>0</v>
      </c>
      <c r="H3" s="91">
        <f t="shared" si="0"/>
        <v>0</v>
      </c>
      <c r="I3" s="91">
        <f t="shared" si="0"/>
        <v>0</v>
      </c>
      <c r="J3" s="91">
        <f t="shared" si="0"/>
        <v>0</v>
      </c>
      <c r="K3" s="91">
        <f t="shared" si="0"/>
        <v>0</v>
      </c>
      <c r="L3" s="91">
        <f t="shared" si="0"/>
        <v>0</v>
      </c>
      <c r="M3" s="91">
        <f t="shared" si="0"/>
        <v>0</v>
      </c>
      <c r="N3" s="91">
        <f t="shared" si="0"/>
        <v>0</v>
      </c>
      <c r="O3" s="91">
        <f t="shared" si="0"/>
        <v>0</v>
      </c>
      <c r="P3" s="91">
        <f t="shared" si="0"/>
        <v>0</v>
      </c>
      <c r="Q3" s="91">
        <f t="shared" si="0"/>
        <v>0</v>
      </c>
      <c r="R3" s="91">
        <f t="shared" si="0"/>
        <v>0</v>
      </c>
      <c r="S3" s="91">
        <f t="shared" si="0"/>
        <v>0</v>
      </c>
      <c r="T3" s="91">
        <f t="shared" si="0"/>
        <v>0</v>
      </c>
      <c r="U3" s="91">
        <f t="shared" si="0"/>
        <v>0</v>
      </c>
      <c r="V3" s="91">
        <f t="shared" si="0"/>
        <v>0</v>
      </c>
      <c r="W3" s="91">
        <f t="shared" si="0"/>
        <v>0</v>
      </c>
      <c r="X3" s="91">
        <f t="shared" si="0"/>
        <v>0</v>
      </c>
      <c r="Y3" s="91">
        <f t="shared" si="0"/>
        <v>0</v>
      </c>
      <c r="Z3" s="91">
        <f t="shared" si="0"/>
        <v>0</v>
      </c>
      <c r="AA3" s="91">
        <f t="shared" si="0"/>
        <v>0</v>
      </c>
      <c r="AB3" s="91">
        <f t="shared" si="0"/>
        <v>0</v>
      </c>
    </row>
    <row r="4" spans="1:28" ht="15" thickTop="1" thickBot="1" x14ac:dyDescent="0.2">
      <c r="A4" s="168" t="s">
        <v>383</v>
      </c>
      <c r="B4" s="169" t="s">
        <v>384</v>
      </c>
      <c r="C4" s="169" t="s">
        <v>2</v>
      </c>
      <c r="D4" s="169" t="s">
        <v>385</v>
      </c>
      <c r="E4" s="99" t="s">
        <v>70</v>
      </c>
      <c r="F4" s="100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</row>
    <row r="5" spans="1:28" ht="13.5" customHeight="1" thickTop="1" x14ac:dyDescent="0.15">
      <c r="A5" s="82">
        <v>1</v>
      </c>
      <c r="B5" s="147" t="s">
        <v>283</v>
      </c>
      <c r="C5" s="41" t="s">
        <v>176</v>
      </c>
      <c r="D5" s="98">
        <v>972</v>
      </c>
      <c r="E5" s="41">
        <f>SUM(F5:AB5)</f>
        <v>0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</row>
    <row r="6" spans="1:28" ht="13.5" customHeight="1" x14ac:dyDescent="0.15">
      <c r="A6" s="82">
        <v>2</v>
      </c>
      <c r="B6" s="20" t="s">
        <v>284</v>
      </c>
      <c r="C6" s="8" t="s">
        <v>176</v>
      </c>
      <c r="D6" s="92">
        <v>972</v>
      </c>
      <c r="E6" s="8">
        <f t="shared" ref="E6:E46" si="1">SUM(F6:AB6)</f>
        <v>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3.5" customHeight="1" x14ac:dyDescent="0.15">
      <c r="A7" s="82">
        <v>3</v>
      </c>
      <c r="B7" s="22" t="s">
        <v>162</v>
      </c>
      <c r="C7" s="8" t="s">
        <v>16</v>
      </c>
      <c r="D7" s="46">
        <v>2160</v>
      </c>
      <c r="E7" s="8">
        <f t="shared" si="1"/>
        <v>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3.5" customHeight="1" x14ac:dyDescent="0.15">
      <c r="A8" s="82">
        <v>5</v>
      </c>
      <c r="B8" s="8" t="s">
        <v>285</v>
      </c>
      <c r="C8" s="8" t="s">
        <v>297</v>
      </c>
      <c r="D8" s="46">
        <v>1814</v>
      </c>
      <c r="E8" s="8">
        <f t="shared" si="1"/>
        <v>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3.5" customHeight="1" x14ac:dyDescent="0.15">
      <c r="A9" s="82">
        <v>6</v>
      </c>
      <c r="B9" s="20" t="s">
        <v>305</v>
      </c>
      <c r="C9" s="8" t="s">
        <v>306</v>
      </c>
      <c r="D9" s="46">
        <v>2480</v>
      </c>
      <c r="E9" s="8">
        <f t="shared" si="1"/>
        <v>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3.5" customHeight="1" x14ac:dyDescent="0.15">
      <c r="A10" s="82">
        <v>8</v>
      </c>
      <c r="B10" s="8" t="s">
        <v>282</v>
      </c>
      <c r="C10" s="8" t="s">
        <v>13</v>
      </c>
      <c r="D10" s="46">
        <v>2160</v>
      </c>
      <c r="E10" s="8">
        <f t="shared" si="1"/>
        <v>0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3.5" customHeight="1" x14ac:dyDescent="0.15">
      <c r="A11" s="82">
        <v>9</v>
      </c>
      <c r="B11" s="8" t="s">
        <v>191</v>
      </c>
      <c r="C11" s="8" t="s">
        <v>7</v>
      </c>
      <c r="D11" s="46">
        <v>1922</v>
      </c>
      <c r="E11" s="8">
        <f t="shared" si="1"/>
        <v>0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3.5" customHeight="1" x14ac:dyDescent="0.15">
      <c r="A12" s="82">
        <v>11</v>
      </c>
      <c r="B12" s="8" t="s">
        <v>338</v>
      </c>
      <c r="C12" s="8" t="s">
        <v>7</v>
      </c>
      <c r="D12" s="46">
        <v>1815</v>
      </c>
      <c r="E12" s="8">
        <f t="shared" si="1"/>
        <v>0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3.5" customHeight="1" x14ac:dyDescent="0.15">
      <c r="A13" s="82">
        <v>12</v>
      </c>
      <c r="B13" s="8" t="s">
        <v>163</v>
      </c>
      <c r="C13" s="8" t="s">
        <v>298</v>
      </c>
      <c r="D13" s="46">
        <v>2570</v>
      </c>
      <c r="E13" s="8">
        <f t="shared" si="1"/>
        <v>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3.5" customHeight="1" x14ac:dyDescent="0.15">
      <c r="A14" s="82">
        <v>13</v>
      </c>
      <c r="B14" s="8" t="s">
        <v>189</v>
      </c>
      <c r="C14" s="8" t="s">
        <v>193</v>
      </c>
      <c r="D14" s="46">
        <v>1512</v>
      </c>
      <c r="E14" s="8">
        <f t="shared" si="1"/>
        <v>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3.5" customHeight="1" x14ac:dyDescent="0.15">
      <c r="A15" s="82">
        <v>14</v>
      </c>
      <c r="B15" s="8" t="s">
        <v>213</v>
      </c>
      <c r="C15" s="8" t="s">
        <v>8</v>
      </c>
      <c r="D15" s="46">
        <v>2160</v>
      </c>
      <c r="E15" s="8">
        <f t="shared" si="1"/>
        <v>0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3.5" customHeight="1" x14ac:dyDescent="0.15">
      <c r="A16" s="82">
        <v>15</v>
      </c>
      <c r="B16" s="8" t="s">
        <v>15</v>
      </c>
      <c r="C16" s="8" t="s">
        <v>178</v>
      </c>
      <c r="D16" s="46">
        <v>1080</v>
      </c>
      <c r="E16" s="8">
        <f t="shared" si="1"/>
        <v>0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9" ht="13.5" customHeight="1" x14ac:dyDescent="0.15">
      <c r="A17" s="82">
        <v>16</v>
      </c>
      <c r="B17" s="22" t="s">
        <v>286</v>
      </c>
      <c r="C17" s="8" t="s">
        <v>299</v>
      </c>
      <c r="D17" s="46">
        <v>2160</v>
      </c>
      <c r="E17" s="8">
        <f>SUM(F17:AB17)</f>
        <v>0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9" ht="13.5" customHeight="1" x14ac:dyDescent="0.15">
      <c r="A18" s="82">
        <v>17</v>
      </c>
      <c r="B18" s="20" t="s">
        <v>287</v>
      </c>
      <c r="C18" s="8" t="s">
        <v>300</v>
      </c>
      <c r="D18" s="46">
        <v>2139</v>
      </c>
      <c r="E18" s="8">
        <f t="shared" si="1"/>
        <v>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9" ht="13.5" customHeight="1" x14ac:dyDescent="0.15">
      <c r="A19" s="82">
        <v>20</v>
      </c>
      <c r="B19" s="20" t="s">
        <v>288</v>
      </c>
      <c r="C19" s="8" t="s">
        <v>176</v>
      </c>
      <c r="D19" s="46">
        <v>972.00000000000011</v>
      </c>
      <c r="E19" s="8">
        <f t="shared" si="1"/>
        <v>0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9" ht="13.5" customHeight="1" x14ac:dyDescent="0.15">
      <c r="A20" s="82">
        <v>23</v>
      </c>
      <c r="B20" s="8" t="s">
        <v>203</v>
      </c>
      <c r="C20" s="8" t="s">
        <v>67</v>
      </c>
      <c r="D20" s="46">
        <v>2030</v>
      </c>
      <c r="E20" s="8">
        <f t="shared" si="1"/>
        <v>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9" ht="13.5" customHeight="1" x14ac:dyDescent="0.15">
      <c r="A21" s="82">
        <v>25</v>
      </c>
      <c r="B21" s="20" t="s">
        <v>289</v>
      </c>
      <c r="C21" s="10" t="s">
        <v>301</v>
      </c>
      <c r="D21" s="46">
        <v>2139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93" t="s">
        <v>103</v>
      </c>
    </row>
    <row r="22" spans="1:29" ht="13.5" customHeight="1" x14ac:dyDescent="0.15">
      <c r="A22" s="82">
        <v>26</v>
      </c>
      <c r="B22" s="8" t="s">
        <v>335</v>
      </c>
      <c r="C22" s="8" t="s">
        <v>336</v>
      </c>
      <c r="D22" s="46">
        <v>1080</v>
      </c>
      <c r="E22" s="8">
        <f t="shared" si="1"/>
        <v>0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9" ht="13.5" customHeight="1" x14ac:dyDescent="0.15">
      <c r="A23" s="82">
        <v>27</v>
      </c>
      <c r="B23" s="8" t="s">
        <v>204</v>
      </c>
      <c r="C23" s="8" t="s">
        <v>67</v>
      </c>
      <c r="D23" s="46">
        <v>2138</v>
      </c>
      <c r="E23" s="8">
        <f t="shared" si="1"/>
        <v>0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9" ht="13.5" customHeight="1" x14ac:dyDescent="0.15">
      <c r="A24" s="82">
        <v>32</v>
      </c>
      <c r="B24" s="8" t="s">
        <v>148</v>
      </c>
      <c r="C24" s="8" t="s">
        <v>339</v>
      </c>
      <c r="D24" s="46">
        <v>2592</v>
      </c>
      <c r="E24" s="8">
        <f t="shared" si="1"/>
        <v>0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9" ht="13.5" customHeight="1" x14ac:dyDescent="0.15">
      <c r="A25" s="82">
        <v>35</v>
      </c>
      <c r="B25" s="77" t="s">
        <v>293</v>
      </c>
      <c r="C25" s="8" t="s">
        <v>304</v>
      </c>
      <c r="D25" s="46">
        <v>2580</v>
      </c>
      <c r="E25" s="8">
        <f t="shared" si="1"/>
        <v>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9" ht="13.5" customHeight="1" x14ac:dyDescent="0.15">
      <c r="A26" s="82">
        <v>80</v>
      </c>
      <c r="B26" s="8" t="s">
        <v>292</v>
      </c>
      <c r="C26" s="170" t="s">
        <v>13</v>
      </c>
      <c r="D26" s="46">
        <v>1080</v>
      </c>
      <c r="E26" s="8">
        <f t="shared" si="1"/>
        <v>0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9" ht="13.5" customHeight="1" x14ac:dyDescent="0.15">
      <c r="A27" s="82">
        <v>80</v>
      </c>
      <c r="B27" s="22" t="s">
        <v>202</v>
      </c>
      <c r="C27" s="20" t="s">
        <v>67</v>
      </c>
      <c r="D27" s="92">
        <v>2030</v>
      </c>
      <c r="E27" s="8">
        <f t="shared" si="1"/>
        <v>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9" ht="13.5" customHeight="1" x14ac:dyDescent="0.15">
      <c r="A28" s="82">
        <v>80</v>
      </c>
      <c r="B28" s="8" t="s">
        <v>161</v>
      </c>
      <c r="C28" s="8" t="s">
        <v>179</v>
      </c>
      <c r="D28" s="46"/>
      <c r="E28" s="8">
        <f t="shared" si="1"/>
        <v>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9"/>
    </row>
    <row r="29" spans="1:29" ht="13.5" customHeight="1" x14ac:dyDescent="0.15">
      <c r="A29" s="82">
        <v>80</v>
      </c>
      <c r="B29" s="8" t="s">
        <v>158</v>
      </c>
      <c r="C29" s="8" t="s">
        <v>175</v>
      </c>
      <c r="D29" s="46">
        <v>540</v>
      </c>
      <c r="E29" s="8">
        <f t="shared" si="1"/>
        <v>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9" ht="13.5" customHeight="1" x14ac:dyDescent="0.15">
      <c r="A30" s="82">
        <v>80</v>
      </c>
      <c r="B30" s="22" t="s">
        <v>296</v>
      </c>
      <c r="C30" s="8" t="s">
        <v>176</v>
      </c>
      <c r="D30" s="46">
        <v>540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9" ht="13.5" customHeight="1" x14ac:dyDescent="0.15">
      <c r="A31" s="82">
        <v>80</v>
      </c>
      <c r="B31" s="22" t="s">
        <v>308</v>
      </c>
      <c r="C31" s="8" t="s">
        <v>67</v>
      </c>
      <c r="D31" s="46">
        <v>1922</v>
      </c>
      <c r="E31" s="8">
        <f t="shared" si="1"/>
        <v>0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9" ht="13.5" customHeight="1" x14ac:dyDescent="0.15">
      <c r="A32" s="82">
        <v>80</v>
      </c>
      <c r="B32" s="8" t="s">
        <v>14</v>
      </c>
      <c r="C32" s="8" t="s">
        <v>8</v>
      </c>
      <c r="D32" s="46">
        <v>864</v>
      </c>
      <c r="E32" s="8">
        <f t="shared" si="1"/>
        <v>0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3.5" customHeight="1" x14ac:dyDescent="0.15">
      <c r="A33" s="82">
        <v>80</v>
      </c>
      <c r="B33" s="8" t="s">
        <v>160</v>
      </c>
      <c r="C33" s="8" t="s">
        <v>178</v>
      </c>
      <c r="D33" s="46">
        <v>1296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3.5" customHeight="1" x14ac:dyDescent="0.15">
      <c r="A34" s="82">
        <v>80</v>
      </c>
      <c r="B34" s="8" t="s">
        <v>188</v>
      </c>
      <c r="C34" s="8" t="s">
        <v>67</v>
      </c>
      <c r="D34" s="46">
        <v>1382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3.5" customHeight="1" x14ac:dyDescent="0.15">
      <c r="A35" s="82">
        <v>80</v>
      </c>
      <c r="B35" s="8" t="s">
        <v>382</v>
      </c>
      <c r="C35" s="8" t="s">
        <v>298</v>
      </c>
      <c r="D35" s="46">
        <v>2571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3.5" customHeight="1" x14ac:dyDescent="0.15">
      <c r="A36" s="82">
        <v>90</v>
      </c>
      <c r="B36" s="8" t="s">
        <v>290</v>
      </c>
      <c r="C36" s="8" t="s">
        <v>302</v>
      </c>
      <c r="D36" s="46">
        <v>1361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3.5" customHeight="1" x14ac:dyDescent="0.15">
      <c r="A37" s="82">
        <v>90</v>
      </c>
      <c r="B37" s="8" t="s">
        <v>340</v>
      </c>
      <c r="C37" s="8" t="s">
        <v>303</v>
      </c>
      <c r="D37" s="46">
        <v>1750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3.5" customHeight="1" x14ac:dyDescent="0.15">
      <c r="A38" s="82">
        <v>90</v>
      </c>
      <c r="B38" s="8" t="s">
        <v>294</v>
      </c>
      <c r="C38" s="8" t="s">
        <v>300</v>
      </c>
      <c r="D38" s="46">
        <v>3208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3.5" customHeight="1" x14ac:dyDescent="0.15">
      <c r="A39" s="82">
        <v>90</v>
      </c>
      <c r="B39" s="8" t="s">
        <v>295</v>
      </c>
      <c r="C39" s="8" t="s">
        <v>300</v>
      </c>
      <c r="D39" s="46">
        <v>2139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3.5" customHeight="1" x14ac:dyDescent="0.15">
      <c r="A40" s="82">
        <v>99</v>
      </c>
      <c r="B40" s="8" t="s">
        <v>159</v>
      </c>
      <c r="C40" s="8" t="s">
        <v>177</v>
      </c>
      <c r="D40" s="46">
        <v>0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3.5" customHeight="1" x14ac:dyDescent="0.15">
      <c r="A41" s="82">
        <v>99</v>
      </c>
      <c r="B41" s="8" t="s">
        <v>312</v>
      </c>
      <c r="C41" s="8"/>
      <c r="D41" s="46">
        <v>0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3.5" customHeight="1" x14ac:dyDescent="0.15">
      <c r="B42" s="8"/>
      <c r="C42" s="8"/>
      <c r="D42" s="46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3.5" customHeight="1" x14ac:dyDescent="0.15">
      <c r="B43" s="8"/>
      <c r="C43" s="8"/>
      <c r="D43" s="46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3.5" customHeight="1" x14ac:dyDescent="0.15">
      <c r="B44" s="8"/>
      <c r="C44" s="8"/>
      <c r="D44" s="46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3.5" customHeight="1" x14ac:dyDescent="0.15">
      <c r="B45" s="8"/>
      <c r="C45" s="8"/>
      <c r="D45" s="46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3.5" customHeight="1" x14ac:dyDescent="0.15">
      <c r="B46" s="20"/>
      <c r="C46" s="8"/>
      <c r="D46" s="46"/>
      <c r="E46" s="8">
        <f t="shared" si="1"/>
        <v>0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3.5" customHeight="1" x14ac:dyDescent="0.15">
      <c r="B47" s="94"/>
      <c r="C47" s="94"/>
      <c r="D47" s="95"/>
      <c r="E47" s="8">
        <v>6</v>
      </c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3.5" customHeight="1" x14ac:dyDescent="0.15">
      <c r="B48" s="94"/>
      <c r="C48" s="94"/>
      <c r="D48" s="95"/>
      <c r="E48" s="8">
        <v>6</v>
      </c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2:2" x14ac:dyDescent="0.15">
      <c r="B49" s="47"/>
    </row>
    <row r="50" spans="2:2" x14ac:dyDescent="0.15">
      <c r="B50" s="47" t="s">
        <v>68</v>
      </c>
    </row>
    <row r="51" spans="2:2" x14ac:dyDescent="0.15">
      <c r="B51" s="10"/>
    </row>
  </sheetData>
  <sortState ref="A5:D41">
    <sortCondition ref="A5:A41"/>
  </sortState>
  <customSheetViews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8C3311D4-BF6B-4714-8FEE-EF832EA44719}" scale="115" showPageBreaks="1" fitToPage="1" printArea="1" view="pageBreakPreview">
      <pane xSplit="5" ySplit="3" topLeftCell="H25" activePane="bottomRight" state="frozen"/>
      <selection pane="bottomRight" activeCell="C32" sqref="C32:D32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9"/>
  <sheetViews>
    <sheetView view="pageBreakPreview" zoomScale="85" zoomScaleNormal="100" zoomScaleSheetLayoutView="85" workbookViewId="0">
      <selection activeCell="E29" sqref="E29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45.25" customWidth="1"/>
  </cols>
  <sheetData>
    <row r="1" spans="1:8" x14ac:dyDescent="0.15">
      <c r="A1" s="181" t="s">
        <v>118</v>
      </c>
      <c r="B1" s="181"/>
      <c r="C1" s="181"/>
      <c r="D1" s="181"/>
      <c r="E1" s="181"/>
      <c r="F1" s="45"/>
    </row>
    <row r="2" spans="1:8" x14ac:dyDescent="0.15">
      <c r="A2" s="106" t="s">
        <v>319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x14ac:dyDescent="0.15">
      <c r="A4" s="107" t="s">
        <v>138</v>
      </c>
      <c r="B4" s="107" t="s">
        <v>133</v>
      </c>
      <c r="C4" s="108" t="s">
        <v>139</v>
      </c>
      <c r="D4" s="109" t="s">
        <v>140</v>
      </c>
      <c r="E4" s="110">
        <v>2462</v>
      </c>
      <c r="F4" s="22"/>
      <c r="G4" s="5"/>
      <c r="H4" s="5"/>
    </row>
    <row r="5" spans="1:8" x14ac:dyDescent="0.15">
      <c r="A5" s="107" t="s">
        <v>144</v>
      </c>
      <c r="B5" s="107" t="s">
        <v>6</v>
      </c>
      <c r="C5" s="108" t="s">
        <v>145</v>
      </c>
      <c r="D5" s="107" t="s">
        <v>146</v>
      </c>
      <c r="E5" s="110">
        <v>0</v>
      </c>
      <c r="F5" s="36"/>
      <c r="H5" s="5"/>
    </row>
    <row r="6" spans="1:8" x14ac:dyDescent="0.15">
      <c r="A6" s="107" t="s">
        <v>141</v>
      </c>
      <c r="B6" s="107" t="s">
        <v>6</v>
      </c>
      <c r="C6" s="108" t="s">
        <v>143</v>
      </c>
      <c r="D6" s="107" t="s">
        <v>142</v>
      </c>
      <c r="E6" s="110">
        <v>0</v>
      </c>
      <c r="F6" s="36"/>
      <c r="H6" s="5"/>
    </row>
    <row r="7" spans="1:8" x14ac:dyDescent="0.15">
      <c r="A7" s="107" t="s">
        <v>150</v>
      </c>
      <c r="B7" s="107" t="s">
        <v>133</v>
      </c>
      <c r="C7" s="108" t="s">
        <v>216</v>
      </c>
      <c r="D7" s="107" t="s">
        <v>151</v>
      </c>
      <c r="E7" s="110">
        <v>972</v>
      </c>
      <c r="F7" s="22"/>
      <c r="H7" s="5"/>
    </row>
    <row r="8" spans="1:8" x14ac:dyDescent="0.15">
      <c r="A8" s="107" t="s">
        <v>152</v>
      </c>
      <c r="B8" s="107" t="s">
        <v>6</v>
      </c>
      <c r="C8" s="107" t="s">
        <v>153</v>
      </c>
      <c r="D8" s="107" t="s">
        <v>154</v>
      </c>
      <c r="E8" s="110">
        <v>0</v>
      </c>
      <c r="F8" s="22"/>
      <c r="H8" s="5"/>
    </row>
    <row r="9" spans="1:8" x14ac:dyDescent="0.15">
      <c r="A9" s="107" t="s">
        <v>155</v>
      </c>
      <c r="B9" s="107" t="s">
        <v>133</v>
      </c>
      <c r="C9" s="108" t="s">
        <v>157</v>
      </c>
      <c r="D9" s="107" t="s">
        <v>156</v>
      </c>
      <c r="E9" s="110">
        <v>2376</v>
      </c>
      <c r="F9" s="22"/>
      <c r="G9" s="5"/>
      <c r="H9" s="5"/>
    </row>
    <row r="10" spans="1:8" x14ac:dyDescent="0.15">
      <c r="A10" s="107" t="s">
        <v>248</v>
      </c>
      <c r="B10" s="114" t="s">
        <v>375</v>
      </c>
      <c r="C10" s="115"/>
      <c r="D10" s="114"/>
      <c r="E10" s="122"/>
      <c r="F10" s="22"/>
      <c r="H10" s="5"/>
    </row>
    <row r="11" spans="1:8" s="5" customFormat="1" x14ac:dyDescent="0.15">
      <c r="A11" s="107" t="s">
        <v>249</v>
      </c>
      <c r="B11" s="114" t="s">
        <v>133</v>
      </c>
      <c r="C11" s="115" t="s">
        <v>380</v>
      </c>
      <c r="D11" s="114" t="s">
        <v>381</v>
      </c>
      <c r="E11" s="122">
        <v>2462</v>
      </c>
      <c r="F11" s="22"/>
    </row>
    <row r="12" spans="1:8" x14ac:dyDescent="0.15">
      <c r="A12" s="107" t="s">
        <v>251</v>
      </c>
      <c r="B12" s="114" t="s">
        <v>133</v>
      </c>
      <c r="C12" s="115" t="s">
        <v>320</v>
      </c>
      <c r="D12" s="114" t="s">
        <v>321</v>
      </c>
      <c r="E12" s="122">
        <v>2678</v>
      </c>
      <c r="F12" s="22"/>
      <c r="H12" s="5"/>
    </row>
    <row r="13" spans="1:8" s="5" customFormat="1" x14ac:dyDescent="0.15">
      <c r="A13" s="107" t="s">
        <v>252</v>
      </c>
      <c r="B13" s="114" t="s">
        <v>6</v>
      </c>
      <c r="C13" s="114"/>
      <c r="D13" s="114"/>
      <c r="E13" s="122"/>
      <c r="F13" s="22"/>
    </row>
    <row r="14" spans="1:8" s="5" customFormat="1" x14ac:dyDescent="0.15">
      <c r="A14" s="107"/>
      <c r="B14" s="107"/>
      <c r="C14" s="107"/>
      <c r="D14" s="107"/>
      <c r="E14" s="110"/>
      <c r="F14" s="8"/>
    </row>
    <row r="15" spans="1:8" s="5" customFormat="1" hidden="1" outlineLevel="1" x14ac:dyDescent="0.15">
      <c r="A15" s="107"/>
      <c r="B15" s="107"/>
      <c r="C15" s="107"/>
      <c r="D15" s="107"/>
      <c r="E15" s="110"/>
      <c r="F15" s="8"/>
    </row>
    <row r="16" spans="1:8" s="5" customFormat="1" hidden="1" outlineLevel="1" x14ac:dyDescent="0.15">
      <c r="A16" s="107"/>
      <c r="B16" s="107"/>
      <c r="C16" s="107"/>
      <c r="D16" s="107"/>
      <c r="E16" s="110"/>
      <c r="F16" s="8"/>
    </row>
    <row r="17" spans="1:8" s="5" customFormat="1" hidden="1" outlineLevel="1" x14ac:dyDescent="0.15">
      <c r="A17" s="107"/>
      <c r="B17" s="107"/>
      <c r="C17" s="107"/>
      <c r="D17" s="107"/>
      <c r="E17" s="110"/>
      <c r="F17" s="8"/>
    </row>
    <row r="18" spans="1:8" s="15" customFormat="1" hidden="1" outlineLevel="1" x14ac:dyDescent="0.15">
      <c r="A18" s="107"/>
      <c r="B18" s="107"/>
      <c r="C18" s="107"/>
      <c r="D18" s="107"/>
      <c r="E18" s="110"/>
      <c r="F18" s="8"/>
    </row>
    <row r="19" spans="1:8" s="15" customFormat="1" hidden="1" outlineLevel="1" x14ac:dyDescent="0.15">
      <c r="A19" s="107"/>
      <c r="B19" s="107"/>
      <c r="C19" s="107"/>
      <c r="D19" s="107"/>
      <c r="E19" s="110"/>
      <c r="F19" s="8"/>
    </row>
    <row r="20" spans="1:8" s="15" customFormat="1" hidden="1" outlineLevel="1" x14ac:dyDescent="0.15">
      <c r="A20" s="107"/>
      <c r="B20" s="107"/>
      <c r="C20" s="107"/>
      <c r="D20" s="107"/>
      <c r="E20" s="110"/>
      <c r="F20" s="8"/>
    </row>
    <row r="21" spans="1:8" s="15" customFormat="1" collapsed="1" x14ac:dyDescent="0.15">
      <c r="A21" s="107"/>
      <c r="B21" s="107"/>
      <c r="C21" s="107"/>
      <c r="D21" s="107"/>
      <c r="E21" s="110"/>
      <c r="F21" s="8"/>
    </row>
    <row r="22" spans="1:8" s="15" customFormat="1" x14ac:dyDescent="0.15">
      <c r="A22" s="107"/>
      <c r="B22" s="107"/>
      <c r="C22" s="107"/>
      <c r="D22" s="107"/>
      <c r="E22" s="110"/>
      <c r="F22" s="8"/>
    </row>
    <row r="23" spans="1:8" x14ac:dyDescent="0.15">
      <c r="A23" s="107"/>
      <c r="B23" s="107"/>
      <c r="C23" s="107"/>
      <c r="D23" s="107"/>
      <c r="E23" s="110"/>
      <c r="F23" s="8"/>
      <c r="H23" s="5"/>
    </row>
    <row r="24" spans="1:8" x14ac:dyDescent="0.15">
      <c r="A24" s="107"/>
      <c r="B24" s="107"/>
      <c r="C24" s="107"/>
      <c r="D24" s="107"/>
      <c r="E24" s="110"/>
      <c r="F24" s="8"/>
      <c r="H24" s="5"/>
    </row>
    <row r="25" spans="1:8" x14ac:dyDescent="0.15">
      <c r="A25" s="107"/>
      <c r="B25" s="107"/>
      <c r="C25" s="108"/>
      <c r="D25" s="107"/>
      <c r="E25" s="110"/>
      <c r="F25" s="36"/>
      <c r="H25" s="5"/>
    </row>
    <row r="26" spans="1:8" x14ac:dyDescent="0.15">
      <c r="B26" s="174">
        <f>COUNTIF(B4:B25,"購入")</f>
        <v>5</v>
      </c>
      <c r="D26" t="s">
        <v>5</v>
      </c>
      <c r="E26" s="21">
        <f>SUM(E4:E25)</f>
        <v>10950</v>
      </c>
    </row>
    <row r="29" spans="1:8" x14ac:dyDescent="0.15">
      <c r="A29" t="s">
        <v>115</v>
      </c>
      <c r="B29" s="135">
        <f>COUNTIF(B4:B25,"不要")</f>
        <v>5</v>
      </c>
      <c r="C29" t="s">
        <v>113</v>
      </c>
      <c r="E29">
        <f>500*B29</f>
        <v>2500</v>
      </c>
      <c r="F29" t="s">
        <v>114</v>
      </c>
    </row>
    <row r="30" spans="1:8" x14ac:dyDescent="0.15">
      <c r="A30" t="s">
        <v>104</v>
      </c>
    </row>
    <row r="31" spans="1:8" x14ac:dyDescent="0.15">
      <c r="A31" s="182" t="s">
        <v>105</v>
      </c>
      <c r="B31" s="182"/>
      <c r="C31" s="182"/>
      <c r="D31" s="182"/>
      <c r="E31" s="125">
        <v>5700</v>
      </c>
      <c r="F31" t="s">
        <v>374</v>
      </c>
    </row>
    <row r="32" spans="1:8" x14ac:dyDescent="0.15">
      <c r="A32" s="182"/>
      <c r="B32" s="182"/>
      <c r="C32" s="182"/>
      <c r="D32" s="182"/>
      <c r="E32" s="125"/>
      <c r="F32" s="21">
        <f>E26+E29+E39</f>
        <v>24150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353</v>
      </c>
    </row>
    <row r="34" spans="1:5" s="15" customFormat="1" x14ac:dyDescent="0.15">
      <c r="A34" s="183" t="s">
        <v>348</v>
      </c>
      <c r="B34" s="184"/>
      <c r="C34" s="184"/>
      <c r="D34" s="185"/>
      <c r="E34" s="125" t="s">
        <v>353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343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D39" t="s">
        <v>106</v>
      </c>
      <c r="E39" s="65">
        <f>SUM(E31:E38)</f>
        <v>10700</v>
      </c>
    </row>
  </sheetData>
  <customSheetViews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printArea="1" hiddenRows="1" view="pageBreakPreview">
      <selection activeCell="F24" sqref="F24"/>
      <pageMargins left="0.70866141732283472" right="0.70866141732283472" top="0.74803149606299213" bottom="0.74803149606299213" header="0.31496062992125984" footer="0.31496062992125984"/>
      <pageSetup paperSize="9" scale="84" orientation="landscape" r:id="rId2"/>
    </customSheetView>
  </customSheetViews>
  <mergeCells count="8">
    <mergeCell ref="A1:E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9"/>
  <sheetViews>
    <sheetView view="pageBreakPreview" zoomScale="85" zoomScaleNormal="70" zoomScaleSheetLayoutView="85" workbookViewId="0">
      <selection activeCell="B29" sqref="B29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31.625" style="5" customWidth="1"/>
    <col min="7" max="16384" width="9" style="5"/>
  </cols>
  <sheetData>
    <row r="1" spans="1:6" x14ac:dyDescent="0.15">
      <c r="A1" s="181" t="s">
        <v>119</v>
      </c>
      <c r="B1" s="181"/>
      <c r="C1" s="181"/>
      <c r="D1" s="181"/>
      <c r="E1" s="181"/>
      <c r="F1" s="181"/>
    </row>
    <row r="2" spans="1:6" x14ac:dyDescent="0.15">
      <c r="A2" s="106" t="s">
        <v>319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 x14ac:dyDescent="0.15">
      <c r="A4" s="107" t="s">
        <v>138</v>
      </c>
      <c r="B4" s="107" t="s">
        <v>133</v>
      </c>
      <c r="C4" s="108" t="s">
        <v>139</v>
      </c>
      <c r="D4" s="109" t="s">
        <v>140</v>
      </c>
      <c r="E4" s="110">
        <v>2462</v>
      </c>
      <c r="F4" s="36"/>
    </row>
    <row r="5" spans="1:6" x14ac:dyDescent="0.15">
      <c r="A5" s="107" t="s">
        <v>144</v>
      </c>
      <c r="B5" s="107" t="s">
        <v>6</v>
      </c>
      <c r="C5" s="108" t="s">
        <v>145</v>
      </c>
      <c r="D5" s="107" t="s">
        <v>146</v>
      </c>
      <c r="E5" s="110"/>
      <c r="F5" s="36"/>
    </row>
    <row r="6" spans="1:6" x14ac:dyDescent="0.15">
      <c r="A6" s="107" t="s">
        <v>141</v>
      </c>
      <c r="B6" s="107" t="s">
        <v>6</v>
      </c>
      <c r="C6" s="108" t="s">
        <v>143</v>
      </c>
      <c r="D6" s="107" t="s">
        <v>142</v>
      </c>
      <c r="E6" s="110"/>
      <c r="F6" s="36"/>
    </row>
    <row r="7" spans="1:6" x14ac:dyDescent="0.15">
      <c r="A7" s="107" t="s">
        <v>150</v>
      </c>
      <c r="B7" s="107" t="s">
        <v>133</v>
      </c>
      <c r="C7" s="108" t="s">
        <v>216</v>
      </c>
      <c r="D7" s="107" t="s">
        <v>151</v>
      </c>
      <c r="E7" s="110">
        <v>972</v>
      </c>
      <c r="F7" s="36"/>
    </row>
    <row r="8" spans="1:6" x14ac:dyDescent="0.15">
      <c r="A8" s="107" t="s">
        <v>152</v>
      </c>
      <c r="B8" s="107" t="s">
        <v>6</v>
      </c>
      <c r="C8" s="107" t="s">
        <v>153</v>
      </c>
      <c r="D8" s="107" t="s">
        <v>154</v>
      </c>
      <c r="E8" s="110"/>
      <c r="F8" s="22"/>
    </row>
    <row r="9" spans="1:6" x14ac:dyDescent="0.15">
      <c r="A9" s="107" t="s">
        <v>155</v>
      </c>
      <c r="B9" s="107" t="s">
        <v>133</v>
      </c>
      <c r="C9" s="108" t="s">
        <v>157</v>
      </c>
      <c r="D9" s="107" t="s">
        <v>156</v>
      </c>
      <c r="E9" s="110">
        <v>2376</v>
      </c>
      <c r="F9" s="22"/>
    </row>
    <row r="10" spans="1:6" x14ac:dyDescent="0.15">
      <c r="A10" s="114" t="s">
        <v>248</v>
      </c>
      <c r="B10" s="114" t="s">
        <v>6</v>
      </c>
      <c r="C10" s="114" t="s">
        <v>329</v>
      </c>
      <c r="D10" s="114"/>
      <c r="E10" s="122"/>
      <c r="F10" s="22"/>
    </row>
    <row r="11" spans="1:6" x14ac:dyDescent="0.15">
      <c r="A11" s="107" t="s">
        <v>218</v>
      </c>
      <c r="B11" s="114" t="s">
        <v>133</v>
      </c>
      <c r="C11" s="115" t="s">
        <v>380</v>
      </c>
      <c r="D11" s="114" t="s">
        <v>381</v>
      </c>
      <c r="E11" s="122">
        <v>2462</v>
      </c>
      <c r="F11" s="22"/>
    </row>
    <row r="12" spans="1:6" x14ac:dyDescent="0.15">
      <c r="A12" s="114" t="s">
        <v>250</v>
      </c>
      <c r="B12" s="114" t="s">
        <v>133</v>
      </c>
      <c r="C12" s="114" t="s">
        <v>320</v>
      </c>
      <c r="D12" s="114" t="s">
        <v>321</v>
      </c>
      <c r="E12" s="122">
        <v>2678</v>
      </c>
      <c r="F12" s="22"/>
    </row>
    <row r="13" spans="1:6" x14ac:dyDescent="0.15">
      <c r="A13" s="107"/>
      <c r="B13" s="107"/>
      <c r="C13" s="107"/>
      <c r="D13" s="107"/>
      <c r="E13" s="110"/>
      <c r="F13" s="22"/>
    </row>
    <row r="14" spans="1:6" x14ac:dyDescent="0.15">
      <c r="A14" s="107"/>
      <c r="B14" s="107"/>
      <c r="C14" s="107"/>
      <c r="D14" s="107"/>
      <c r="E14" s="110"/>
      <c r="F14" s="8"/>
    </row>
    <row r="15" spans="1:6" hidden="1" outlineLevel="1" x14ac:dyDescent="0.15">
      <c r="A15" s="107"/>
      <c r="B15" s="107"/>
      <c r="C15" s="107"/>
      <c r="D15" s="107"/>
      <c r="E15" s="110"/>
      <c r="F15" s="8"/>
    </row>
    <row r="16" spans="1:6" s="15" customFormat="1" hidden="1" outlineLevel="1" x14ac:dyDescent="0.15">
      <c r="A16" s="107"/>
      <c r="B16" s="107"/>
      <c r="C16" s="107"/>
      <c r="D16" s="107"/>
      <c r="E16" s="110"/>
      <c r="F16" s="8"/>
    </row>
    <row r="17" spans="1:6" hidden="1" outlineLevel="1" x14ac:dyDescent="0.15">
      <c r="A17" s="107"/>
      <c r="B17" s="107"/>
      <c r="C17" s="107"/>
      <c r="D17" s="107"/>
      <c r="E17" s="110"/>
      <c r="F17" s="8"/>
    </row>
    <row r="18" spans="1:6" s="15" customFormat="1" hidden="1" outlineLevel="1" x14ac:dyDescent="0.15">
      <c r="A18" s="107"/>
      <c r="B18" s="107"/>
      <c r="C18" s="107"/>
      <c r="D18" s="107"/>
      <c r="E18" s="110"/>
      <c r="F18" s="8"/>
    </row>
    <row r="19" spans="1:6" s="15" customFormat="1" hidden="1" outlineLevel="1" x14ac:dyDescent="0.15">
      <c r="A19" s="107"/>
      <c r="B19" s="107"/>
      <c r="C19" s="107"/>
      <c r="D19" s="107"/>
      <c r="E19" s="110"/>
      <c r="F19" s="8"/>
    </row>
    <row r="20" spans="1:6" s="15" customFormat="1" hidden="1" outlineLevel="1" x14ac:dyDescent="0.15">
      <c r="A20" s="107"/>
      <c r="B20" s="107"/>
      <c r="C20" s="107"/>
      <c r="D20" s="107"/>
      <c r="E20" s="110"/>
      <c r="F20" s="8"/>
    </row>
    <row r="21" spans="1:6" s="15" customFormat="1" collapsed="1" x14ac:dyDescent="0.15">
      <c r="A21" s="107"/>
      <c r="B21" s="107"/>
      <c r="C21" s="107"/>
      <c r="D21" s="107"/>
      <c r="E21" s="110"/>
      <c r="F21" s="8"/>
    </row>
    <row r="22" spans="1:6" s="15" customFormat="1" x14ac:dyDescent="0.15">
      <c r="A22" s="107"/>
      <c r="B22" s="107"/>
      <c r="C22" s="107"/>
      <c r="D22" s="107"/>
      <c r="E22" s="110"/>
      <c r="F22" s="8"/>
    </row>
    <row r="23" spans="1:6" x14ac:dyDescent="0.15">
      <c r="A23" s="107"/>
      <c r="B23" s="107"/>
      <c r="C23" s="107"/>
      <c r="D23" s="107"/>
      <c r="E23" s="110"/>
      <c r="F23" s="8"/>
    </row>
    <row r="24" spans="1:6" x14ac:dyDescent="0.15">
      <c r="A24" s="107"/>
      <c r="B24" s="107"/>
      <c r="C24" s="107"/>
      <c r="D24" s="107"/>
      <c r="E24" s="110"/>
      <c r="F24" s="7"/>
    </row>
    <row r="25" spans="1:6" x14ac:dyDescent="0.15">
      <c r="A25" s="107"/>
      <c r="B25" s="107"/>
      <c r="C25" s="107"/>
      <c r="D25" s="107"/>
      <c r="E25" s="110"/>
      <c r="F25" s="7"/>
    </row>
    <row r="26" spans="1:6" x14ac:dyDescent="0.15">
      <c r="B26" s="174">
        <f>COUNTIF(B4:B25,"購入")</f>
        <v>5</v>
      </c>
      <c r="D26" s="5" t="s">
        <v>5</v>
      </c>
      <c r="E26" s="21">
        <f>SUM(E4:E25)</f>
        <v>10950</v>
      </c>
    </row>
    <row r="29" spans="1:6" x14ac:dyDescent="0.15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6" x14ac:dyDescent="0.15">
      <c r="A30" s="5" t="s">
        <v>104</v>
      </c>
    </row>
    <row r="31" spans="1:6" x14ac:dyDescent="0.15">
      <c r="A31" s="182" t="s">
        <v>105</v>
      </c>
      <c r="B31" s="182"/>
      <c r="C31" s="182"/>
      <c r="D31" s="182"/>
      <c r="E31" s="125">
        <v>5700</v>
      </c>
      <c r="F31" s="5" t="s">
        <v>374</v>
      </c>
    </row>
    <row r="32" spans="1:6" x14ac:dyDescent="0.15">
      <c r="A32" s="182"/>
      <c r="B32" s="182"/>
      <c r="C32" s="182"/>
      <c r="D32" s="182"/>
      <c r="E32" s="125"/>
      <c r="F32" s="11">
        <f>E26+E29+E39</f>
        <v>23650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354</v>
      </c>
    </row>
    <row r="34" spans="1:5" s="15" customFormat="1" x14ac:dyDescent="0.15">
      <c r="A34" s="183" t="s">
        <v>348</v>
      </c>
      <c r="B34" s="184"/>
      <c r="C34" s="184"/>
      <c r="D34" s="185"/>
      <c r="E34" s="125" t="s">
        <v>353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343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10700</v>
      </c>
    </row>
  </sheetData>
  <customSheetViews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8C3311D4-BF6B-4714-8FEE-EF832EA44719}" showPageBreaks="1" fitToPage="1" hiddenRows="1" view="pageBreakPreview">
      <selection activeCell="F10" sqref="F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9"/>
  <sheetViews>
    <sheetView view="pageBreakPreview" zoomScale="85" zoomScaleNormal="70" zoomScaleSheetLayoutView="85" workbookViewId="0">
      <selection activeCell="B29" sqref="B29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 x14ac:dyDescent="0.15">
      <c r="A1" s="181" t="s">
        <v>120</v>
      </c>
      <c r="B1" s="181"/>
      <c r="C1" s="181"/>
      <c r="D1" s="181"/>
      <c r="E1" s="181"/>
      <c r="F1" s="181"/>
    </row>
    <row r="2" spans="1:8" x14ac:dyDescent="0.15">
      <c r="A2" s="106" t="s">
        <v>319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5" customFormat="1" x14ac:dyDescent="0.15">
      <c r="A4" s="107" t="s">
        <v>253</v>
      </c>
      <c r="B4" s="114" t="s">
        <v>322</v>
      </c>
      <c r="C4" s="114"/>
      <c r="D4" s="114"/>
      <c r="E4" s="133"/>
      <c r="F4" s="22"/>
    </row>
    <row r="5" spans="1:8" x14ac:dyDescent="0.15">
      <c r="A5" s="107" t="s">
        <v>255</v>
      </c>
      <c r="B5" s="114" t="s">
        <v>322</v>
      </c>
      <c r="C5" s="114"/>
      <c r="D5" s="114"/>
      <c r="E5" s="133"/>
      <c r="F5" s="22"/>
      <c r="G5" s="23"/>
      <c r="H5" s="24"/>
    </row>
    <row r="6" spans="1:8" s="5" customFormat="1" x14ac:dyDescent="0.15">
      <c r="A6" s="107" t="s">
        <v>256</v>
      </c>
      <c r="B6" s="114" t="s">
        <v>322</v>
      </c>
      <c r="C6" s="114"/>
      <c r="D6" s="114"/>
      <c r="E6" s="133"/>
      <c r="F6" s="22"/>
    </row>
    <row r="7" spans="1:8" s="5" customFormat="1" x14ac:dyDescent="0.15">
      <c r="A7" s="107" t="s">
        <v>257</v>
      </c>
      <c r="B7" s="114" t="s">
        <v>322</v>
      </c>
      <c r="C7" s="134"/>
      <c r="D7" s="114"/>
      <c r="E7" s="133"/>
      <c r="F7" s="22"/>
    </row>
    <row r="8" spans="1:8" s="5" customFormat="1" x14ac:dyDescent="0.15">
      <c r="A8" s="107" t="s">
        <v>258</v>
      </c>
      <c r="B8" s="114" t="s">
        <v>322</v>
      </c>
      <c r="C8" s="134"/>
      <c r="D8" s="114"/>
      <c r="E8" s="133"/>
      <c r="F8" s="22"/>
    </row>
    <row r="9" spans="1:8" x14ac:dyDescent="0.15">
      <c r="A9" s="107" t="s">
        <v>259</v>
      </c>
      <c r="B9" s="114" t="s">
        <v>323</v>
      </c>
      <c r="C9" s="134"/>
      <c r="D9" s="114"/>
      <c r="E9" s="133"/>
      <c r="F9" s="22"/>
    </row>
    <row r="10" spans="1:8" s="5" customFormat="1" x14ac:dyDescent="0.15">
      <c r="A10" s="107" t="s">
        <v>260</v>
      </c>
      <c r="B10" s="114" t="s">
        <v>323</v>
      </c>
      <c r="C10" s="134"/>
      <c r="D10" s="114"/>
      <c r="E10" s="133"/>
      <c r="F10" s="22"/>
    </row>
    <row r="11" spans="1:8" x14ac:dyDescent="0.15">
      <c r="A11" s="107"/>
      <c r="B11" s="107"/>
      <c r="C11" s="107"/>
      <c r="D11" s="107"/>
      <c r="E11" s="125"/>
      <c r="F11" s="9"/>
    </row>
    <row r="12" spans="1:8" s="15" customFormat="1" x14ac:dyDescent="0.15">
      <c r="A12" s="107"/>
      <c r="B12" s="107"/>
      <c r="C12" s="107"/>
      <c r="D12" s="107"/>
      <c r="E12" s="125"/>
      <c r="F12" s="36"/>
    </row>
    <row r="13" spans="1:8" s="15" customFormat="1" x14ac:dyDescent="0.15">
      <c r="A13" s="107"/>
      <c r="B13" s="107"/>
      <c r="C13" s="107"/>
      <c r="D13" s="107"/>
      <c r="E13" s="125"/>
      <c r="F13" s="36"/>
    </row>
    <row r="14" spans="1:8" s="15" customFormat="1" x14ac:dyDescent="0.15">
      <c r="A14" s="107"/>
      <c r="B14" s="107"/>
      <c r="C14" s="107"/>
      <c r="D14" s="107"/>
      <c r="E14" s="125"/>
      <c r="F14" s="36"/>
    </row>
    <row r="15" spans="1:8" s="15" customFormat="1" x14ac:dyDescent="0.15">
      <c r="A15" s="107"/>
      <c r="B15" s="107"/>
      <c r="C15" s="107"/>
      <c r="D15" s="107"/>
      <c r="E15" s="125"/>
      <c r="F15" s="36"/>
    </row>
    <row r="16" spans="1:8" s="15" customFormat="1" hidden="1" outlineLevel="1" x14ac:dyDescent="0.15">
      <c r="A16" s="107"/>
      <c r="B16" s="107"/>
      <c r="C16" s="107"/>
      <c r="D16" s="107"/>
      <c r="E16" s="125"/>
      <c r="F16" s="36"/>
    </row>
    <row r="17" spans="1:6" hidden="1" outlineLevel="1" x14ac:dyDescent="0.15">
      <c r="A17" s="107"/>
      <c r="B17" s="107"/>
      <c r="C17" s="107"/>
      <c r="D17" s="107"/>
      <c r="E17" s="125"/>
      <c r="F17" s="9"/>
    </row>
    <row r="18" spans="1:6" s="15" customFormat="1" hidden="1" outlineLevel="1" x14ac:dyDescent="0.15">
      <c r="A18" s="107"/>
      <c r="B18" s="107"/>
      <c r="C18" s="107"/>
      <c r="D18" s="107"/>
      <c r="E18" s="125"/>
      <c r="F18" s="36"/>
    </row>
    <row r="19" spans="1:6" hidden="1" outlineLevel="1" x14ac:dyDescent="0.15">
      <c r="A19" s="107"/>
      <c r="B19" s="107"/>
      <c r="C19" s="107"/>
      <c r="D19" s="107"/>
      <c r="E19" s="125"/>
      <c r="F19" s="1"/>
    </row>
    <row r="20" spans="1:6" s="15" customFormat="1" hidden="1" outlineLevel="1" x14ac:dyDescent="0.15">
      <c r="A20" s="107"/>
      <c r="B20" s="107"/>
      <c r="C20" s="107"/>
      <c r="D20" s="107"/>
      <c r="E20" s="125"/>
      <c r="F20" s="36"/>
    </row>
    <row r="21" spans="1:6" s="15" customFormat="1" hidden="1" outlineLevel="1" x14ac:dyDescent="0.15">
      <c r="A21" s="107"/>
      <c r="B21" s="107"/>
      <c r="C21" s="107"/>
      <c r="D21" s="107"/>
      <c r="E21" s="125"/>
      <c r="F21" s="36"/>
    </row>
    <row r="22" spans="1:6" s="15" customFormat="1" collapsed="1" x14ac:dyDescent="0.15">
      <c r="A22" s="107"/>
      <c r="B22" s="107"/>
      <c r="C22" s="107"/>
      <c r="D22" s="107"/>
      <c r="E22" s="125"/>
      <c r="F22" s="36"/>
    </row>
    <row r="23" spans="1:6" s="15" customFormat="1" x14ac:dyDescent="0.15">
      <c r="A23" s="107"/>
      <c r="B23" s="107"/>
      <c r="C23" s="107"/>
      <c r="D23" s="107"/>
      <c r="E23" s="125"/>
      <c r="F23" s="36"/>
    </row>
    <row r="24" spans="1:6" x14ac:dyDescent="0.15">
      <c r="A24" s="107"/>
      <c r="B24" s="107"/>
      <c r="C24" s="107"/>
      <c r="D24" s="107"/>
      <c r="E24" s="125"/>
      <c r="F24" s="9"/>
    </row>
    <row r="25" spans="1:6" x14ac:dyDescent="0.15">
      <c r="A25" s="107"/>
      <c r="B25" s="107"/>
      <c r="C25" s="107"/>
      <c r="D25" s="107"/>
      <c r="E25" s="125"/>
      <c r="F25" s="33"/>
    </row>
    <row r="26" spans="1:6" x14ac:dyDescent="0.15">
      <c r="B26" s="174">
        <f>COUNTIF(B4:B25,"購入")</f>
        <v>0</v>
      </c>
      <c r="D26" t="s">
        <v>5</v>
      </c>
      <c r="E26" s="11">
        <f>SUM(E6:E25)</f>
        <v>0</v>
      </c>
    </row>
    <row r="29" spans="1:6" x14ac:dyDescent="0.15">
      <c r="A29" t="s">
        <v>115</v>
      </c>
      <c r="B29" s="135">
        <f>COUNTIF(B4:B25,"不要")</f>
        <v>7</v>
      </c>
      <c r="C29" t="s">
        <v>113</v>
      </c>
      <c r="E29">
        <f>500*B29</f>
        <v>3500</v>
      </c>
      <c r="F29" t="s">
        <v>114</v>
      </c>
    </row>
    <row r="30" spans="1:6" x14ac:dyDescent="0.15">
      <c r="A30" t="s">
        <v>104</v>
      </c>
    </row>
    <row r="31" spans="1:6" x14ac:dyDescent="0.15">
      <c r="A31" s="182" t="s">
        <v>105</v>
      </c>
      <c r="B31" s="182"/>
      <c r="C31" s="182"/>
      <c r="D31" s="182"/>
      <c r="E31" s="125">
        <v>5700</v>
      </c>
      <c r="F31" t="s">
        <v>365</v>
      </c>
    </row>
    <row r="32" spans="1:6" x14ac:dyDescent="0.15">
      <c r="A32" s="182"/>
      <c r="B32" s="182"/>
      <c r="C32" s="182"/>
      <c r="D32" s="182"/>
      <c r="E32" s="125"/>
      <c r="F32" s="11">
        <f>E26+E29+E39</f>
        <v>21000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372</v>
      </c>
    </row>
    <row r="34" spans="1:5" s="15" customFormat="1" x14ac:dyDescent="0.15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>
        <v>5000</v>
      </c>
    </row>
    <row r="37" spans="1:5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17500</v>
      </c>
    </row>
  </sheetData>
  <customSheetViews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8C3311D4-BF6B-4714-8FEE-EF832EA44719}" showPageBreaks="1" fitToPage="1" printArea="1" hiddenRows="1" view="pageBreakPreview" topLeftCell="B2">
      <selection activeCell="F10" sqref="F10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40.125" style="5" customWidth="1"/>
    <col min="7" max="16384" width="9" style="5"/>
  </cols>
  <sheetData>
    <row r="1" spans="1:7" x14ac:dyDescent="0.15">
      <c r="A1" s="181" t="s">
        <v>121</v>
      </c>
      <c r="B1" s="181"/>
      <c r="C1" s="181"/>
      <c r="D1" s="181"/>
      <c r="E1" s="181"/>
      <c r="F1" s="181"/>
    </row>
    <row r="2" spans="1:7" x14ac:dyDescent="0.15">
      <c r="A2" s="106" t="s">
        <v>319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x14ac:dyDescent="0.15">
      <c r="A4" s="114" t="s">
        <v>253</v>
      </c>
      <c r="B4" s="114" t="s">
        <v>6</v>
      </c>
      <c r="C4" s="114"/>
      <c r="D4" s="114"/>
      <c r="E4" s="133"/>
      <c r="F4" s="22"/>
      <c r="G4" s="3"/>
    </row>
    <row r="5" spans="1:7" x14ac:dyDescent="0.15">
      <c r="A5" s="114" t="s">
        <v>254</v>
      </c>
      <c r="B5" s="114" t="s">
        <v>322</v>
      </c>
      <c r="C5" s="114"/>
      <c r="D5" s="114"/>
      <c r="E5" s="133"/>
      <c r="F5" s="22"/>
    </row>
    <row r="6" spans="1:7" x14ac:dyDescent="0.15">
      <c r="A6" s="114" t="s">
        <v>261</v>
      </c>
      <c r="B6" s="114" t="s">
        <v>6</v>
      </c>
      <c r="C6" s="114"/>
      <c r="D6" s="114"/>
      <c r="E6" s="133"/>
      <c r="F6" s="22"/>
    </row>
    <row r="7" spans="1:7" x14ac:dyDescent="0.15">
      <c r="A7" s="114" t="s">
        <v>324</v>
      </c>
      <c r="B7" s="114" t="s">
        <v>133</v>
      </c>
      <c r="C7" s="134" t="s">
        <v>325</v>
      </c>
      <c r="D7" s="114" t="s">
        <v>326</v>
      </c>
      <c r="E7" s="133">
        <v>2700</v>
      </c>
      <c r="F7" s="22"/>
    </row>
    <row r="8" spans="1:7" x14ac:dyDescent="0.15">
      <c r="A8" s="114" t="s">
        <v>256</v>
      </c>
      <c r="B8" s="114" t="s">
        <v>322</v>
      </c>
      <c r="C8" s="134"/>
      <c r="D8" s="114"/>
      <c r="E8" s="133"/>
      <c r="F8" s="22"/>
    </row>
    <row r="9" spans="1:7" x14ac:dyDescent="0.15">
      <c r="A9" s="114" t="s">
        <v>257</v>
      </c>
      <c r="B9" s="114" t="s">
        <v>322</v>
      </c>
      <c r="C9" s="134"/>
      <c r="D9" s="114"/>
      <c r="E9" s="133"/>
      <c r="F9" s="22"/>
    </row>
    <row r="10" spans="1:7" x14ac:dyDescent="0.15">
      <c r="A10" s="114" t="s">
        <v>262</v>
      </c>
      <c r="B10" s="114" t="s">
        <v>327</v>
      </c>
      <c r="C10" s="134"/>
      <c r="D10" s="114"/>
      <c r="E10" s="133"/>
      <c r="F10" s="22"/>
    </row>
    <row r="11" spans="1:7" x14ac:dyDescent="0.15">
      <c r="A11" s="114" t="s">
        <v>263</v>
      </c>
      <c r="B11" s="114" t="s">
        <v>327</v>
      </c>
      <c r="C11" s="114"/>
      <c r="D11" s="114"/>
      <c r="E11" s="133"/>
      <c r="F11" s="22"/>
    </row>
    <row r="12" spans="1:7" x14ac:dyDescent="0.15">
      <c r="A12" s="114" t="s">
        <v>258</v>
      </c>
      <c r="B12" s="114" t="s">
        <v>322</v>
      </c>
      <c r="C12" s="134"/>
      <c r="D12" s="114"/>
      <c r="E12" s="133"/>
      <c r="F12" s="22"/>
    </row>
    <row r="13" spans="1:7" x14ac:dyDescent="0.15">
      <c r="A13" s="114" t="s">
        <v>264</v>
      </c>
      <c r="B13" s="114" t="s">
        <v>327</v>
      </c>
      <c r="C13" s="114"/>
      <c r="D13" s="114"/>
      <c r="E13" s="133"/>
      <c r="F13" s="22"/>
    </row>
    <row r="14" spans="1:7" x14ac:dyDescent="0.15">
      <c r="A14" s="114" t="s">
        <v>265</v>
      </c>
      <c r="B14" s="114" t="s">
        <v>327</v>
      </c>
      <c r="C14" s="114"/>
      <c r="D14" s="114"/>
      <c r="E14" s="133"/>
      <c r="F14" s="22"/>
    </row>
    <row r="15" spans="1:7" hidden="1" outlineLevel="1" x14ac:dyDescent="0.15">
      <c r="A15" s="107"/>
      <c r="B15" s="107"/>
      <c r="C15" s="107"/>
      <c r="D15" s="107"/>
      <c r="E15" s="125"/>
      <c r="F15" s="9"/>
    </row>
    <row r="16" spans="1:7" hidden="1" outlineLevel="1" x14ac:dyDescent="0.15">
      <c r="A16" s="107"/>
      <c r="B16" s="107"/>
      <c r="C16" s="107"/>
      <c r="D16" s="107"/>
      <c r="E16" s="125"/>
      <c r="F16" s="9"/>
    </row>
    <row r="17" spans="1:6" hidden="1" outlineLevel="1" x14ac:dyDescent="0.15">
      <c r="A17" s="107"/>
      <c r="B17" s="107"/>
      <c r="C17" s="107"/>
      <c r="D17" s="107"/>
      <c r="E17" s="125"/>
      <c r="F17" s="9"/>
    </row>
    <row r="18" spans="1:6" s="15" customFormat="1" hidden="1" outlineLevel="1" x14ac:dyDescent="0.15">
      <c r="A18" s="107"/>
      <c r="B18" s="107"/>
      <c r="C18" s="107"/>
      <c r="D18" s="107"/>
      <c r="E18" s="125"/>
      <c r="F18" s="36"/>
    </row>
    <row r="19" spans="1:6" s="15" customFormat="1" hidden="1" outlineLevel="1" x14ac:dyDescent="0.15">
      <c r="A19" s="107"/>
      <c r="B19" s="107"/>
      <c r="C19" s="107"/>
      <c r="D19" s="107"/>
      <c r="E19" s="125"/>
      <c r="F19" s="36"/>
    </row>
    <row r="20" spans="1:6" s="15" customFormat="1" hidden="1" outlineLevel="1" x14ac:dyDescent="0.15">
      <c r="A20" s="107"/>
      <c r="B20" s="107"/>
      <c r="C20" s="107"/>
      <c r="D20" s="107"/>
      <c r="E20" s="125"/>
      <c r="F20" s="36"/>
    </row>
    <row r="21" spans="1:6" s="15" customFormat="1" collapsed="1" x14ac:dyDescent="0.15">
      <c r="A21" s="107"/>
      <c r="B21" s="107"/>
      <c r="C21" s="107"/>
      <c r="D21" s="107"/>
      <c r="E21" s="125"/>
      <c r="F21" s="36"/>
    </row>
    <row r="22" spans="1:6" s="15" customFormat="1" x14ac:dyDescent="0.15">
      <c r="A22" s="107"/>
      <c r="B22" s="107"/>
      <c r="C22" s="107"/>
      <c r="D22" s="107"/>
      <c r="E22" s="125"/>
      <c r="F22" s="36"/>
    </row>
    <row r="23" spans="1:6" x14ac:dyDescent="0.15">
      <c r="A23" s="107"/>
      <c r="B23" s="107"/>
      <c r="C23" s="107"/>
      <c r="D23" s="107"/>
      <c r="E23" s="125"/>
      <c r="F23" s="9"/>
    </row>
    <row r="24" spans="1:6" x14ac:dyDescent="0.15">
      <c r="A24" s="107"/>
      <c r="B24" s="107"/>
      <c r="C24" s="107"/>
      <c r="D24" s="107"/>
      <c r="E24" s="125"/>
      <c r="F24" s="35"/>
    </row>
    <row r="25" spans="1:6" x14ac:dyDescent="0.15">
      <c r="A25" s="107"/>
      <c r="B25" s="107"/>
      <c r="C25" s="107"/>
      <c r="D25" s="107"/>
      <c r="E25" s="125"/>
      <c r="F25" s="35"/>
    </row>
    <row r="26" spans="1:6" x14ac:dyDescent="0.15">
      <c r="B26" s="174">
        <f>COUNTIF(B4:B25,"購入")</f>
        <v>1</v>
      </c>
      <c r="E26" s="11">
        <f>SUM(E4:E25)</f>
        <v>2700</v>
      </c>
    </row>
    <row r="29" spans="1:6" x14ac:dyDescent="0.15">
      <c r="A29" s="5" t="s">
        <v>115</v>
      </c>
      <c r="B29" s="135">
        <f>COUNTIF(B4:B25,"不要")</f>
        <v>10</v>
      </c>
      <c r="C29" s="5" t="s">
        <v>113</v>
      </c>
      <c r="F29" s="5" t="s">
        <v>114</v>
      </c>
    </row>
    <row r="30" spans="1:6" x14ac:dyDescent="0.15">
      <c r="A30" s="5" t="s">
        <v>104</v>
      </c>
    </row>
    <row r="31" spans="1:6" x14ac:dyDescent="0.15">
      <c r="A31" s="182" t="s">
        <v>105</v>
      </c>
      <c r="B31" s="182"/>
      <c r="C31" s="182"/>
      <c r="D31" s="182"/>
      <c r="E31" s="125">
        <v>5700</v>
      </c>
      <c r="F31" s="5" t="s">
        <v>365</v>
      </c>
    </row>
    <row r="32" spans="1:6" x14ac:dyDescent="0.15">
      <c r="A32" s="182"/>
      <c r="B32" s="182"/>
      <c r="C32" s="182"/>
      <c r="D32" s="182"/>
      <c r="E32" s="125"/>
      <c r="F32" s="11">
        <f>E26+E29+E39</f>
        <v>10900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355</v>
      </c>
    </row>
    <row r="34" spans="1:5" s="15" customFormat="1" x14ac:dyDescent="0.15">
      <c r="A34" s="183" t="s">
        <v>348</v>
      </c>
      <c r="B34" s="184"/>
      <c r="C34" s="184"/>
      <c r="D34" s="185"/>
      <c r="E34" s="125" t="s">
        <v>356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344</v>
      </c>
      <c r="B37" s="184"/>
      <c r="C37" s="184"/>
      <c r="D37" s="185"/>
      <c r="E37" s="125" t="s">
        <v>312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8200</v>
      </c>
    </row>
  </sheetData>
  <customSheetViews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8C3311D4-BF6B-4714-8FEE-EF832EA44719}" showPageBreaks="1" printArea="1" hiddenRows="1" view="pageBreakPreview" topLeftCell="A2">
      <selection activeCell="F10" sqref="F10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9"/>
  <sheetViews>
    <sheetView view="pageBreakPreview" zoomScale="85" zoomScaleNormal="100" zoomScaleSheetLayoutView="85" zoomScalePageLayoutView="55" workbookViewId="0">
      <selection activeCell="B29" sqref="B29"/>
    </sheetView>
  </sheetViews>
  <sheetFormatPr defaultRowHeight="13.5" outlineLevelRow="1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36.625" customWidth="1"/>
  </cols>
  <sheetData>
    <row r="1" spans="1:7" x14ac:dyDescent="0.15">
      <c r="A1" s="181" t="s">
        <v>122</v>
      </c>
      <c r="B1" s="181"/>
      <c r="C1" s="181"/>
      <c r="D1" s="181"/>
      <c r="E1" s="181"/>
      <c r="F1" s="181"/>
    </row>
    <row r="2" spans="1:7" x14ac:dyDescent="0.15">
      <c r="A2" s="106" t="s">
        <v>319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5" customFormat="1" x14ac:dyDescent="0.15">
      <c r="A4" s="107" t="s">
        <v>253</v>
      </c>
      <c r="B4" s="114" t="s">
        <v>328</v>
      </c>
      <c r="C4" s="114"/>
      <c r="D4" s="114"/>
      <c r="E4" s="132"/>
      <c r="F4" s="22"/>
      <c r="G4" s="3"/>
    </row>
    <row r="5" spans="1:7" s="5" customFormat="1" x14ac:dyDescent="0.15">
      <c r="A5" s="107" t="s">
        <v>261</v>
      </c>
      <c r="B5" s="114" t="s">
        <v>133</v>
      </c>
      <c r="C5" s="115" t="s">
        <v>139</v>
      </c>
      <c r="D5" s="109" t="s">
        <v>140</v>
      </c>
      <c r="E5" s="122">
        <v>2462</v>
      </c>
      <c r="F5" s="22"/>
    </row>
    <row r="6" spans="1:7" s="5" customFormat="1" x14ac:dyDescent="0.15">
      <c r="A6" s="107" t="s">
        <v>266</v>
      </c>
      <c r="B6" s="114" t="s">
        <v>328</v>
      </c>
      <c r="C6" s="114"/>
      <c r="D6" s="114"/>
      <c r="E6" s="132"/>
      <c r="F6" s="22"/>
    </row>
    <row r="7" spans="1:7" s="5" customFormat="1" x14ac:dyDescent="0.15">
      <c r="A7" s="107" t="s">
        <v>267</v>
      </c>
      <c r="B7" s="114" t="s">
        <v>328</v>
      </c>
      <c r="C7" s="114"/>
      <c r="D7" s="114"/>
      <c r="E7" s="132"/>
      <c r="F7" s="8"/>
    </row>
    <row r="8" spans="1:7" x14ac:dyDescent="0.15">
      <c r="A8" s="107" t="s">
        <v>259</v>
      </c>
      <c r="B8" s="114" t="s">
        <v>328</v>
      </c>
      <c r="C8" s="114"/>
      <c r="D8" s="114"/>
      <c r="E8" s="132"/>
      <c r="F8" s="22"/>
    </row>
    <row r="9" spans="1:7" s="15" customFormat="1" x14ac:dyDescent="0.15">
      <c r="A9" s="107" t="s">
        <v>260</v>
      </c>
      <c r="B9" s="114" t="s">
        <v>328</v>
      </c>
      <c r="C9" s="114"/>
      <c r="D9" s="114"/>
      <c r="E9" s="132"/>
      <c r="F9" s="8"/>
    </row>
    <row r="10" spans="1:7" s="15" customFormat="1" x14ac:dyDescent="0.15">
      <c r="A10" s="107"/>
      <c r="B10" s="107"/>
      <c r="C10" s="114"/>
      <c r="D10" s="114"/>
      <c r="E10" s="132"/>
      <c r="F10" s="8"/>
    </row>
    <row r="11" spans="1:7" s="15" customFormat="1" x14ac:dyDescent="0.15">
      <c r="A11" s="107"/>
      <c r="B11" s="107"/>
      <c r="C11" s="107"/>
      <c r="D11" s="107"/>
      <c r="E11" s="131"/>
      <c r="F11" s="37"/>
    </row>
    <row r="12" spans="1:7" s="15" customFormat="1" x14ac:dyDescent="0.15">
      <c r="A12" s="107"/>
      <c r="B12" s="107"/>
      <c r="C12" s="107"/>
      <c r="D12" s="107"/>
      <c r="E12" s="131"/>
      <c r="F12" s="37"/>
    </row>
    <row r="13" spans="1:7" s="15" customFormat="1" x14ac:dyDescent="0.15">
      <c r="A13" s="107"/>
      <c r="B13" s="107"/>
      <c r="C13" s="107"/>
      <c r="D13" s="107"/>
      <c r="E13" s="131"/>
      <c r="F13" s="37"/>
    </row>
    <row r="14" spans="1:7" s="15" customFormat="1" x14ac:dyDescent="0.15">
      <c r="A14" s="107"/>
      <c r="B14" s="107"/>
      <c r="C14" s="107"/>
      <c r="D14" s="107"/>
      <c r="E14" s="131"/>
      <c r="F14" s="37"/>
    </row>
    <row r="15" spans="1:7" s="15" customFormat="1" hidden="1" outlineLevel="1" x14ac:dyDescent="0.15">
      <c r="A15" s="107"/>
      <c r="B15" s="107"/>
      <c r="C15" s="107"/>
      <c r="D15" s="107"/>
      <c r="E15" s="131"/>
      <c r="F15" s="37"/>
    </row>
    <row r="16" spans="1:7" hidden="1" outlineLevel="1" x14ac:dyDescent="0.15">
      <c r="A16" s="107"/>
      <c r="B16" s="107"/>
      <c r="C16" s="107"/>
      <c r="D16" s="107"/>
      <c r="E16" s="131"/>
      <c r="F16" s="9"/>
      <c r="G16" s="3"/>
    </row>
    <row r="17" spans="1:6" hidden="1" outlineLevel="1" x14ac:dyDescent="0.15">
      <c r="A17" s="107"/>
      <c r="B17" s="107"/>
      <c r="C17" s="107"/>
      <c r="D17" s="107"/>
      <c r="E17" s="131"/>
      <c r="F17" s="9"/>
    </row>
    <row r="18" spans="1:6" s="15" customFormat="1" hidden="1" outlineLevel="1" x14ac:dyDescent="0.15">
      <c r="A18" s="107"/>
      <c r="B18" s="107"/>
      <c r="C18" s="107"/>
      <c r="D18" s="107"/>
      <c r="E18" s="131"/>
      <c r="F18" s="36"/>
    </row>
    <row r="19" spans="1:6" s="15" customFormat="1" hidden="1" outlineLevel="1" x14ac:dyDescent="0.15">
      <c r="A19" s="107"/>
      <c r="B19" s="107"/>
      <c r="C19" s="107"/>
      <c r="D19" s="107"/>
      <c r="E19" s="131"/>
      <c r="F19" s="36"/>
    </row>
    <row r="20" spans="1:6" s="15" customFormat="1" hidden="1" outlineLevel="1" x14ac:dyDescent="0.15">
      <c r="A20" s="107"/>
      <c r="B20" s="107"/>
      <c r="C20" s="107"/>
      <c r="D20" s="107"/>
      <c r="E20" s="131"/>
      <c r="F20" s="36"/>
    </row>
    <row r="21" spans="1:6" collapsed="1" x14ac:dyDescent="0.15">
      <c r="A21" s="107"/>
      <c r="B21" s="107"/>
      <c r="C21" s="107"/>
      <c r="D21" s="107"/>
      <c r="E21" s="131"/>
      <c r="F21" s="9"/>
    </row>
    <row r="22" spans="1:6" s="15" customFormat="1" x14ac:dyDescent="0.15">
      <c r="A22" s="107"/>
      <c r="B22" s="107"/>
      <c r="C22" s="107"/>
      <c r="D22" s="107"/>
      <c r="E22" s="131"/>
      <c r="F22" s="36"/>
    </row>
    <row r="23" spans="1:6" s="15" customFormat="1" x14ac:dyDescent="0.15">
      <c r="A23" s="107"/>
      <c r="B23" s="107"/>
      <c r="C23" s="107"/>
      <c r="D23" s="107"/>
      <c r="E23" s="131"/>
      <c r="F23" s="36"/>
    </row>
    <row r="24" spans="1:6" x14ac:dyDescent="0.15">
      <c r="A24" s="107"/>
      <c r="B24" s="107"/>
      <c r="C24" s="107"/>
      <c r="D24" s="107"/>
      <c r="E24" s="131"/>
      <c r="F24" s="1"/>
    </row>
    <row r="25" spans="1:6" s="5" customFormat="1" x14ac:dyDescent="0.15">
      <c r="A25" s="107"/>
      <c r="B25" s="107"/>
      <c r="C25" s="107"/>
      <c r="D25" s="107"/>
      <c r="E25" s="131"/>
      <c r="F25" s="36"/>
    </row>
    <row r="26" spans="1:6" x14ac:dyDescent="0.15">
      <c r="B26" s="174">
        <f>COUNTIF(B4:B25,"購入")</f>
        <v>1</v>
      </c>
      <c r="D26" t="s">
        <v>5</v>
      </c>
      <c r="E26" s="4">
        <f>SUM(E4:E25)</f>
        <v>2462</v>
      </c>
    </row>
    <row r="29" spans="1:6" x14ac:dyDescent="0.15">
      <c r="A29" t="s">
        <v>115</v>
      </c>
      <c r="B29" s="135">
        <f>COUNTIF(B4:B25,"不要")</f>
        <v>5</v>
      </c>
      <c r="C29" t="s">
        <v>113</v>
      </c>
      <c r="E29">
        <f>500*B29</f>
        <v>2500</v>
      </c>
      <c r="F29" t="s">
        <v>114</v>
      </c>
    </row>
    <row r="30" spans="1:6" x14ac:dyDescent="0.15">
      <c r="A30" t="s">
        <v>104</v>
      </c>
    </row>
    <row r="31" spans="1:6" x14ac:dyDescent="0.15">
      <c r="A31" s="182" t="s">
        <v>105</v>
      </c>
      <c r="B31" s="182"/>
      <c r="C31" s="182"/>
      <c r="D31" s="182"/>
      <c r="E31" s="125">
        <v>5700</v>
      </c>
      <c r="F31" t="s">
        <v>365</v>
      </c>
    </row>
    <row r="32" spans="1:6" x14ac:dyDescent="0.15">
      <c r="A32" s="182"/>
      <c r="B32" s="182"/>
      <c r="C32" s="182"/>
      <c r="D32" s="182"/>
      <c r="E32" s="125"/>
      <c r="F32" s="11">
        <f>E26+E29+E39</f>
        <v>14962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371</v>
      </c>
    </row>
    <row r="34" spans="1:5" s="15" customFormat="1" x14ac:dyDescent="0.15">
      <c r="A34" s="183" t="s">
        <v>348</v>
      </c>
      <c r="B34" s="184"/>
      <c r="C34" s="184"/>
      <c r="D34" s="185"/>
      <c r="E34" s="125">
        <v>1800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344</v>
      </c>
      <c r="B37" s="184"/>
      <c r="C37" s="184"/>
      <c r="D37" s="185"/>
      <c r="E37" s="125" t="s">
        <v>372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10000</v>
      </c>
    </row>
  </sheetData>
  <customSheetViews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8C3311D4-BF6B-4714-8FEE-EF832EA44719}" showPageBreaks="1" fitToPage="1" printArea="1" hiddenRows="1" view="pageBreakPreview" topLeftCell="A2">
      <selection activeCell="F10" sqref="F10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 outlineLevelRow="1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7" x14ac:dyDescent="0.15">
      <c r="A1" s="181" t="s">
        <v>370</v>
      </c>
      <c r="B1" s="181"/>
      <c r="C1" s="181"/>
      <c r="D1" s="181"/>
      <c r="E1" s="181"/>
      <c r="F1" s="181"/>
    </row>
    <row r="2" spans="1:7" x14ac:dyDescent="0.15">
      <c r="A2" s="106" t="s">
        <v>30</v>
      </c>
      <c r="B2" s="27"/>
    </row>
    <row r="3" spans="1:7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x14ac:dyDescent="0.15">
      <c r="A4" s="107" t="s">
        <v>253</v>
      </c>
      <c r="B4" s="114" t="s">
        <v>6</v>
      </c>
      <c r="C4" s="114"/>
      <c r="D4" s="114"/>
      <c r="E4" s="132" t="str">
        <f>IF(ISERROR(VLOOKUP(C4,教科書一覧,3,FALSE)),"",VLOOKUP(C4,教科書一覧,3,FALSE))</f>
        <v/>
      </c>
      <c r="F4" s="22"/>
      <c r="G4" s="3"/>
    </row>
    <row r="5" spans="1:7" x14ac:dyDescent="0.15">
      <c r="A5" s="107" t="s">
        <v>228</v>
      </c>
      <c r="B5" s="114" t="s">
        <v>133</v>
      </c>
      <c r="C5" s="114" t="s">
        <v>139</v>
      </c>
      <c r="D5" s="114" t="s">
        <v>140</v>
      </c>
      <c r="E5" s="132">
        <v>2462</v>
      </c>
      <c r="F5" s="22"/>
      <c r="G5" s="82"/>
    </row>
    <row r="6" spans="1:7" s="15" customFormat="1" x14ac:dyDescent="0.15">
      <c r="A6" s="107" t="s">
        <v>266</v>
      </c>
      <c r="B6" s="114" t="s">
        <v>373</v>
      </c>
      <c r="C6" s="114"/>
      <c r="D6" s="114"/>
      <c r="E6" s="132"/>
      <c r="F6" s="22"/>
      <c r="G6" s="82"/>
    </row>
    <row r="7" spans="1:7" s="15" customFormat="1" x14ac:dyDescent="0.15">
      <c r="A7" s="107" t="s">
        <v>267</v>
      </c>
      <c r="B7" s="114" t="s">
        <v>373</v>
      </c>
      <c r="C7" s="114"/>
      <c r="D7" s="114"/>
      <c r="E7" s="132"/>
      <c r="F7" s="22"/>
      <c r="G7" s="82"/>
    </row>
    <row r="8" spans="1:7" s="15" customFormat="1" x14ac:dyDescent="0.15">
      <c r="A8" s="107" t="s">
        <v>268</v>
      </c>
      <c r="B8" s="111"/>
      <c r="C8" s="111"/>
      <c r="D8" s="111"/>
      <c r="E8" s="130"/>
      <c r="F8" s="102"/>
    </row>
    <row r="9" spans="1:7" s="15" customFormat="1" x14ac:dyDescent="0.15">
      <c r="A9" s="107" t="s">
        <v>269</v>
      </c>
      <c r="B9" s="111"/>
      <c r="C9" s="111"/>
      <c r="D9" s="111"/>
      <c r="E9" s="130"/>
      <c r="F9" s="102"/>
    </row>
    <row r="10" spans="1:7" x14ac:dyDescent="0.15">
      <c r="A10" s="107" t="s">
        <v>270</v>
      </c>
      <c r="B10" s="114" t="s">
        <v>6</v>
      </c>
      <c r="C10" s="114"/>
      <c r="D10" s="114"/>
      <c r="E10" s="132"/>
      <c r="F10" s="8"/>
    </row>
    <row r="11" spans="1:7" x14ac:dyDescent="0.15">
      <c r="A11" s="107"/>
      <c r="B11" s="107"/>
      <c r="C11" s="107"/>
      <c r="D11" s="107"/>
      <c r="E11" s="131"/>
      <c r="F11" s="9"/>
    </row>
    <row r="12" spans="1:7" x14ac:dyDescent="0.15">
      <c r="A12" s="107"/>
      <c r="B12" s="107"/>
      <c r="C12" s="107"/>
      <c r="D12" s="107"/>
      <c r="E12" s="131"/>
      <c r="F12" s="7"/>
    </row>
    <row r="13" spans="1:7" x14ac:dyDescent="0.15">
      <c r="A13" s="107"/>
      <c r="B13" s="107"/>
      <c r="C13" s="107"/>
      <c r="D13" s="107"/>
      <c r="E13" s="131"/>
      <c r="F13" s="7"/>
    </row>
    <row r="14" spans="1:7" x14ac:dyDescent="0.15">
      <c r="A14" s="107"/>
      <c r="B14" s="107"/>
      <c r="C14" s="107"/>
      <c r="D14" s="107"/>
      <c r="E14" s="131"/>
      <c r="F14" s="7"/>
    </row>
    <row r="15" spans="1:7" s="15" customFormat="1" hidden="1" outlineLevel="1" x14ac:dyDescent="0.15">
      <c r="A15" s="107"/>
      <c r="B15" s="107"/>
      <c r="C15" s="107"/>
      <c r="D15" s="107"/>
      <c r="E15" s="131"/>
      <c r="F15" s="37"/>
    </row>
    <row r="16" spans="1:7" s="15" customFormat="1" hidden="1" outlineLevel="1" x14ac:dyDescent="0.15">
      <c r="A16" s="107"/>
      <c r="B16" s="107"/>
      <c r="C16" s="107"/>
      <c r="D16" s="107"/>
      <c r="E16" s="131"/>
      <c r="F16" s="37"/>
    </row>
    <row r="17" spans="1:7" hidden="1" outlineLevel="1" x14ac:dyDescent="0.15">
      <c r="A17" s="107"/>
      <c r="B17" s="107"/>
      <c r="C17" s="107"/>
      <c r="D17" s="107"/>
      <c r="E17" s="131"/>
      <c r="F17" s="9"/>
      <c r="G17" s="3"/>
    </row>
    <row r="18" spans="1:7" hidden="1" outlineLevel="1" x14ac:dyDescent="0.15">
      <c r="A18" s="107"/>
      <c r="B18" s="107"/>
      <c r="C18" s="107"/>
      <c r="D18" s="107"/>
      <c r="E18" s="131"/>
      <c r="F18" s="9"/>
    </row>
    <row r="19" spans="1:7" s="15" customFormat="1" hidden="1" outlineLevel="1" x14ac:dyDescent="0.15">
      <c r="A19" s="107"/>
      <c r="B19" s="107"/>
      <c r="C19" s="107"/>
      <c r="D19" s="107"/>
      <c r="E19" s="131"/>
      <c r="F19" s="36"/>
    </row>
    <row r="20" spans="1:7" s="15" customFormat="1" hidden="1" outlineLevel="1" x14ac:dyDescent="0.15">
      <c r="A20" s="107"/>
      <c r="B20" s="107"/>
      <c r="C20" s="107"/>
      <c r="D20" s="107"/>
      <c r="E20" s="131"/>
      <c r="F20" s="36"/>
    </row>
    <row r="21" spans="1:7" s="15" customFormat="1" collapsed="1" x14ac:dyDescent="0.15">
      <c r="A21" s="107"/>
      <c r="B21" s="107"/>
      <c r="C21" s="107"/>
      <c r="D21" s="107"/>
      <c r="E21" s="131"/>
      <c r="F21" s="36"/>
    </row>
    <row r="22" spans="1:7" s="15" customFormat="1" x14ac:dyDescent="0.15">
      <c r="A22" s="107"/>
      <c r="B22" s="107"/>
      <c r="C22" s="107"/>
      <c r="D22" s="107"/>
      <c r="E22" s="131"/>
      <c r="F22" s="36"/>
    </row>
    <row r="23" spans="1:7" s="15" customFormat="1" x14ac:dyDescent="0.15">
      <c r="A23" s="107"/>
      <c r="B23" s="107"/>
      <c r="C23" s="107"/>
      <c r="D23" s="107"/>
      <c r="E23" s="131"/>
      <c r="F23" s="36"/>
    </row>
    <row r="24" spans="1:7" x14ac:dyDescent="0.15">
      <c r="A24" s="107"/>
      <c r="B24" s="107"/>
      <c r="C24" s="107"/>
      <c r="D24" s="107"/>
      <c r="E24" s="131"/>
      <c r="F24" s="7"/>
    </row>
    <row r="25" spans="1:7" x14ac:dyDescent="0.15">
      <c r="A25" s="107"/>
      <c r="B25" s="107"/>
      <c r="C25" s="107"/>
      <c r="D25" s="107"/>
      <c r="E25" s="131"/>
      <c r="F25" s="9"/>
    </row>
    <row r="26" spans="1:7" x14ac:dyDescent="0.15">
      <c r="B26" s="174">
        <f>COUNTIF(B4:B25,"購入")</f>
        <v>1</v>
      </c>
      <c r="D26" s="5" t="s">
        <v>5</v>
      </c>
      <c r="E26" s="4">
        <f>SUM(E4:E25)</f>
        <v>2462</v>
      </c>
    </row>
    <row r="29" spans="1:7" x14ac:dyDescent="0.15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7" x14ac:dyDescent="0.15">
      <c r="A30" s="5" t="s">
        <v>104</v>
      </c>
    </row>
    <row r="31" spans="1:7" x14ac:dyDescent="0.15">
      <c r="A31" s="182" t="s">
        <v>105</v>
      </c>
      <c r="B31" s="182"/>
      <c r="C31" s="182"/>
      <c r="D31" s="182"/>
      <c r="E31" s="125">
        <v>5700</v>
      </c>
      <c r="F31" s="5" t="s">
        <v>365</v>
      </c>
    </row>
    <row r="32" spans="1:7" x14ac:dyDescent="0.15">
      <c r="A32" s="182"/>
      <c r="B32" s="182"/>
      <c r="C32" s="182"/>
      <c r="D32" s="182"/>
      <c r="E32" s="125"/>
      <c r="F32" s="11">
        <f>E26+E29+E39</f>
        <v>12662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357</v>
      </c>
    </row>
    <row r="34" spans="1:5" s="15" customFormat="1" x14ac:dyDescent="0.15">
      <c r="A34" s="183" t="s">
        <v>348</v>
      </c>
      <c r="B34" s="184"/>
      <c r="C34" s="184"/>
      <c r="D34" s="185"/>
      <c r="E34" s="125" t="s">
        <v>312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344</v>
      </c>
      <c r="B37" s="184"/>
      <c r="C37" s="184"/>
      <c r="D37" s="185"/>
      <c r="E37" s="125" t="s">
        <v>312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8200</v>
      </c>
    </row>
  </sheetData>
  <customSheetViews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1"/>
    </customSheetView>
    <customSheetView guid="{8C3311D4-BF6B-4714-8FEE-EF832EA44719}" showPageBreaks="1" printArea="1" hiddenRows="1" view="pageBreakPreview">
      <selection activeCell="F10" sqref="F10"/>
      <pageMargins left="0.7" right="0.7" top="0.75" bottom="0.75" header="0.3" footer="0.3"/>
      <pageSetup paperSize="9" scale="96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view="pageBreakPreview" zoomScale="85" zoomScaleNormal="100" zoomScaleSheetLayoutView="85" workbookViewId="0">
      <selection activeCell="B29" sqref="B29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7" width="9" style="5"/>
    <col min="8" max="8" width="9" style="15"/>
    <col min="9" max="16384" width="9" style="5"/>
  </cols>
  <sheetData>
    <row r="1" spans="1:10" x14ac:dyDescent="0.15">
      <c r="A1" s="181" t="s">
        <v>123</v>
      </c>
      <c r="B1" s="181"/>
      <c r="C1" s="181"/>
      <c r="D1" s="181"/>
      <c r="E1" s="181"/>
      <c r="F1" s="181"/>
    </row>
    <row r="2" spans="1:10" x14ac:dyDescent="0.15">
      <c r="A2" s="106" t="s">
        <v>319</v>
      </c>
      <c r="B2" s="27"/>
      <c r="H2" s="24"/>
      <c r="I2" s="24"/>
      <c r="J2" s="24"/>
    </row>
    <row r="3" spans="1:10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  <c r="H3" s="24"/>
      <c r="I3" s="24"/>
      <c r="J3" s="24"/>
    </row>
    <row r="4" spans="1:10" x14ac:dyDescent="0.15">
      <c r="A4" s="114" t="s">
        <v>165</v>
      </c>
      <c r="B4" s="114" t="s">
        <v>32</v>
      </c>
      <c r="C4" s="114" t="s">
        <v>292</v>
      </c>
      <c r="D4" s="119" t="s">
        <v>13</v>
      </c>
      <c r="E4" s="133">
        <f t="shared" ref="E4:E16" si="0">IF(C4="","",VLOOKUP(C4,教科書一覧,3,FALSE))</f>
        <v>1080</v>
      </c>
      <c r="F4" s="7"/>
      <c r="H4" s="24"/>
      <c r="I4" s="75"/>
      <c r="J4" s="24"/>
    </row>
    <row r="5" spans="1:10" x14ac:dyDescent="0.15">
      <c r="A5" s="114" t="s">
        <v>172</v>
      </c>
      <c r="B5" s="114" t="s">
        <v>32</v>
      </c>
      <c r="C5" s="114" t="s">
        <v>163</v>
      </c>
      <c r="D5" s="114"/>
      <c r="E5" s="133">
        <f t="shared" si="0"/>
        <v>2570</v>
      </c>
      <c r="F5" s="7"/>
      <c r="H5" s="10"/>
      <c r="I5" s="75"/>
      <c r="J5" s="75"/>
    </row>
    <row r="6" spans="1:10" s="15" customFormat="1" x14ac:dyDescent="0.15">
      <c r="A6" s="114" t="s">
        <v>206</v>
      </c>
      <c r="B6" s="114" t="s">
        <v>32</v>
      </c>
      <c r="C6" s="114" t="s">
        <v>158</v>
      </c>
      <c r="D6" s="114" t="s">
        <v>175</v>
      </c>
      <c r="E6" s="133">
        <f t="shared" si="0"/>
        <v>540</v>
      </c>
      <c r="F6" s="16"/>
      <c r="H6" s="10"/>
      <c r="I6" s="24"/>
      <c r="J6" s="24"/>
    </row>
    <row r="7" spans="1:10" s="15" customFormat="1" x14ac:dyDescent="0.15">
      <c r="A7" s="114" t="s">
        <v>166</v>
      </c>
      <c r="B7" s="114" t="s">
        <v>32</v>
      </c>
      <c r="C7" s="114" t="s">
        <v>283</v>
      </c>
      <c r="D7" s="114" t="s">
        <v>176</v>
      </c>
      <c r="E7" s="133">
        <f t="shared" si="0"/>
        <v>972</v>
      </c>
      <c r="F7" s="16"/>
      <c r="H7" s="10"/>
      <c r="I7" s="24"/>
      <c r="J7" s="24"/>
    </row>
    <row r="8" spans="1:10" s="15" customFormat="1" x14ac:dyDescent="0.15">
      <c r="A8" s="114" t="s">
        <v>167</v>
      </c>
      <c r="B8" s="114" t="s">
        <v>6</v>
      </c>
      <c r="C8" s="114" t="s">
        <v>159</v>
      </c>
      <c r="D8" s="115" t="s">
        <v>177</v>
      </c>
      <c r="E8" s="133">
        <f t="shared" si="0"/>
        <v>0</v>
      </c>
      <c r="F8" s="16"/>
      <c r="H8" s="10"/>
      <c r="I8" s="24"/>
      <c r="J8" s="75"/>
    </row>
    <row r="9" spans="1:10" s="15" customFormat="1" x14ac:dyDescent="0.15">
      <c r="A9" s="114" t="s">
        <v>207</v>
      </c>
      <c r="B9" s="114" t="s">
        <v>32</v>
      </c>
      <c r="C9" s="114" t="s">
        <v>213</v>
      </c>
      <c r="D9" s="115" t="s">
        <v>8</v>
      </c>
      <c r="E9" s="133">
        <f t="shared" si="0"/>
        <v>2160</v>
      </c>
      <c r="F9" s="8"/>
      <c r="G9" s="23"/>
      <c r="H9" s="10"/>
      <c r="I9" s="24"/>
      <c r="J9" s="75"/>
    </row>
    <row r="10" spans="1:10" s="15" customFormat="1" x14ac:dyDescent="0.15">
      <c r="A10" s="114" t="s">
        <v>168</v>
      </c>
      <c r="B10" s="114" t="s">
        <v>32</v>
      </c>
      <c r="C10" s="114" t="s">
        <v>15</v>
      </c>
      <c r="D10" s="115" t="s">
        <v>178</v>
      </c>
      <c r="E10" s="133">
        <f t="shared" si="0"/>
        <v>1080</v>
      </c>
      <c r="F10" s="8"/>
      <c r="G10" s="23"/>
      <c r="H10" s="10"/>
      <c r="I10" s="24"/>
      <c r="J10" s="24"/>
    </row>
    <row r="11" spans="1:10" x14ac:dyDescent="0.15">
      <c r="A11" s="126" t="s">
        <v>169</v>
      </c>
      <c r="B11" s="127" t="s">
        <v>32</v>
      </c>
      <c r="C11" s="128" t="s">
        <v>160</v>
      </c>
      <c r="D11" s="129" t="s">
        <v>178</v>
      </c>
      <c r="E11" s="139">
        <f t="shared" si="0"/>
        <v>1296</v>
      </c>
      <c r="F11" s="81"/>
      <c r="G11" s="23"/>
      <c r="H11" s="10"/>
      <c r="I11" s="24"/>
      <c r="J11" s="24"/>
    </row>
    <row r="12" spans="1:10" x14ac:dyDescent="0.15">
      <c r="A12" s="114" t="s">
        <v>208</v>
      </c>
      <c r="B12" s="114" t="s">
        <v>32</v>
      </c>
      <c r="C12" s="114" t="s">
        <v>161</v>
      </c>
      <c r="D12" s="115" t="s">
        <v>179</v>
      </c>
      <c r="E12" s="133">
        <f t="shared" si="0"/>
        <v>0</v>
      </c>
      <c r="F12" s="8"/>
      <c r="G12" s="23"/>
      <c r="H12" s="10"/>
      <c r="I12" s="24"/>
      <c r="J12" s="24"/>
    </row>
    <row r="13" spans="1:10" s="15" customFormat="1" x14ac:dyDescent="0.15">
      <c r="A13" s="114" t="s">
        <v>171</v>
      </c>
      <c r="B13" s="114" t="s">
        <v>32</v>
      </c>
      <c r="C13" s="114" t="s">
        <v>162</v>
      </c>
      <c r="D13" s="115" t="s">
        <v>16</v>
      </c>
      <c r="E13" s="133">
        <f t="shared" si="0"/>
        <v>2160</v>
      </c>
      <c r="F13" s="8"/>
      <c r="G13" s="23"/>
      <c r="H13" s="10"/>
      <c r="I13" s="24"/>
      <c r="J13" s="24"/>
    </row>
    <row r="14" spans="1:10" s="15" customFormat="1" x14ac:dyDescent="0.15">
      <c r="A14" s="114" t="s">
        <v>184</v>
      </c>
      <c r="B14" s="114" t="s">
        <v>6</v>
      </c>
      <c r="C14" s="114" t="s">
        <v>190</v>
      </c>
      <c r="D14" s="115"/>
      <c r="E14" s="133">
        <f t="shared" si="0"/>
        <v>0</v>
      </c>
      <c r="F14" s="8"/>
      <c r="G14" s="23"/>
      <c r="H14" s="10"/>
    </row>
    <row r="15" spans="1:10" s="15" customFormat="1" x14ac:dyDescent="0.15">
      <c r="A15" s="114" t="s">
        <v>211</v>
      </c>
      <c r="B15" s="114" t="s">
        <v>6</v>
      </c>
      <c r="C15" s="114" t="s">
        <v>330</v>
      </c>
      <c r="D15" s="115"/>
      <c r="E15" s="133">
        <f t="shared" si="0"/>
        <v>0</v>
      </c>
      <c r="F15" s="8"/>
      <c r="G15" s="23"/>
      <c r="H15" s="10"/>
    </row>
    <row r="16" spans="1:10" s="15" customFormat="1" x14ac:dyDescent="0.15">
      <c r="A16" s="114" t="s">
        <v>174</v>
      </c>
      <c r="B16" s="114" t="s">
        <v>6</v>
      </c>
      <c r="C16" s="114" t="s">
        <v>331</v>
      </c>
      <c r="D16" s="115"/>
      <c r="E16" s="133">
        <f t="shared" si="0"/>
        <v>0</v>
      </c>
      <c r="F16" s="8"/>
      <c r="G16" s="23"/>
      <c r="H16" s="10"/>
    </row>
    <row r="17" spans="1:7" x14ac:dyDescent="0.15">
      <c r="A17" s="114"/>
      <c r="B17" s="114"/>
      <c r="C17" s="114"/>
      <c r="D17" s="115"/>
      <c r="E17" s="133"/>
      <c r="F17" s="8"/>
    </row>
    <row r="18" spans="1:7" x14ac:dyDescent="0.15">
      <c r="A18" s="114"/>
      <c r="B18" s="114"/>
      <c r="C18" s="115"/>
      <c r="D18" s="115"/>
      <c r="E18" s="133"/>
      <c r="F18" s="8"/>
    </row>
    <row r="19" spans="1:7" s="15" customFormat="1" x14ac:dyDescent="0.15">
      <c r="A19" s="114"/>
      <c r="B19" s="114"/>
      <c r="C19" s="114"/>
      <c r="D19" s="115"/>
      <c r="E19" s="133"/>
      <c r="F19" s="8"/>
    </row>
    <row r="20" spans="1:7" s="15" customFormat="1" x14ac:dyDescent="0.15">
      <c r="A20" s="114"/>
      <c r="B20" s="114"/>
      <c r="C20" s="114"/>
      <c r="D20" s="115"/>
      <c r="E20" s="133"/>
      <c r="F20" s="8"/>
    </row>
    <row r="21" spans="1:7" s="15" customFormat="1" x14ac:dyDescent="0.15">
      <c r="A21" s="114"/>
      <c r="B21" s="114"/>
      <c r="C21" s="114"/>
      <c r="D21" s="115"/>
      <c r="E21" s="133"/>
      <c r="F21" s="8"/>
    </row>
    <row r="22" spans="1:7" s="15" customFormat="1" x14ac:dyDescent="0.15">
      <c r="A22" s="114"/>
      <c r="B22" s="114"/>
      <c r="C22" s="114"/>
      <c r="D22" s="115"/>
      <c r="E22" s="133"/>
      <c r="F22" s="8"/>
    </row>
    <row r="23" spans="1:7" s="15" customFormat="1" x14ac:dyDescent="0.15">
      <c r="A23" s="114"/>
      <c r="B23" s="114"/>
      <c r="C23" s="114"/>
      <c r="D23" s="115"/>
      <c r="E23" s="133"/>
      <c r="F23" s="8"/>
    </row>
    <row r="24" spans="1:7" s="15" customFormat="1" x14ac:dyDescent="0.15">
      <c r="A24" s="114"/>
      <c r="B24" s="114"/>
      <c r="C24" s="114"/>
      <c r="D24" s="115"/>
      <c r="E24" s="133"/>
      <c r="F24" s="8"/>
    </row>
    <row r="25" spans="1:7" s="15" customFormat="1" x14ac:dyDescent="0.15">
      <c r="A25" s="114"/>
      <c r="B25" s="114"/>
      <c r="C25" s="114"/>
      <c r="D25" s="115"/>
      <c r="E25" s="133"/>
      <c r="F25" s="8"/>
    </row>
    <row r="26" spans="1:7" x14ac:dyDescent="0.15">
      <c r="B26" s="174">
        <f>COUNTIF(B4:B25,"購入")</f>
        <v>9</v>
      </c>
      <c r="D26" s="5" t="s">
        <v>5</v>
      </c>
      <c r="E26" s="6">
        <f>SUM(E4:E25)</f>
        <v>11858</v>
      </c>
    </row>
    <row r="27" spans="1:7" x14ac:dyDescent="0.15">
      <c r="A27" s="82"/>
      <c r="B27" s="10"/>
      <c r="C27" s="15"/>
    </row>
    <row r="28" spans="1:7" x14ac:dyDescent="0.15">
      <c r="C28" s="10"/>
      <c r="E28" s="15"/>
      <c r="F28" s="15"/>
    </row>
    <row r="29" spans="1:7" x14ac:dyDescent="0.15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7" x14ac:dyDescent="0.15">
      <c r="A30" s="5" t="s">
        <v>104</v>
      </c>
      <c r="E30" s="5" t="s">
        <v>111</v>
      </c>
      <c r="F30" s="5" t="s">
        <v>112</v>
      </c>
    </row>
    <row r="31" spans="1:7" x14ac:dyDescent="0.15">
      <c r="A31" s="182"/>
      <c r="B31" s="182"/>
      <c r="C31" s="182"/>
      <c r="D31" s="182"/>
      <c r="E31" s="125"/>
      <c r="F31" s="37"/>
      <c r="G31" s="5" t="s">
        <v>365</v>
      </c>
    </row>
    <row r="32" spans="1:7" x14ac:dyDescent="0.15">
      <c r="A32" s="182"/>
      <c r="B32" s="182"/>
      <c r="C32" s="182"/>
      <c r="D32" s="182"/>
      <c r="E32" s="125"/>
      <c r="F32" s="37"/>
      <c r="G32" s="6">
        <f>E26+E39+E29</f>
        <v>18858</v>
      </c>
    </row>
    <row r="33" spans="1:6" s="15" customFormat="1" x14ac:dyDescent="0.15">
      <c r="A33" s="148" t="s">
        <v>349</v>
      </c>
      <c r="B33" s="149"/>
      <c r="C33" s="149"/>
      <c r="D33" s="150"/>
      <c r="E33" s="125" t="s">
        <v>356</v>
      </c>
      <c r="F33" s="105"/>
    </row>
    <row r="34" spans="1:6" s="15" customFormat="1" x14ac:dyDescent="0.15">
      <c r="A34" s="183" t="s">
        <v>348</v>
      </c>
      <c r="B34" s="184"/>
      <c r="C34" s="184"/>
      <c r="D34" s="185"/>
      <c r="E34" s="125" t="s">
        <v>357</v>
      </c>
      <c r="F34" s="105"/>
    </row>
    <row r="35" spans="1:6" s="15" customFormat="1" x14ac:dyDescent="0.15">
      <c r="A35" s="183" t="s">
        <v>347</v>
      </c>
      <c r="B35" s="184"/>
      <c r="C35" s="184"/>
      <c r="D35" s="185"/>
      <c r="E35" s="125"/>
      <c r="F35" s="105"/>
    </row>
    <row r="36" spans="1:6" s="15" customFormat="1" x14ac:dyDescent="0.15">
      <c r="A36" s="183" t="s">
        <v>345</v>
      </c>
      <c r="B36" s="184"/>
      <c r="C36" s="184"/>
      <c r="D36" s="185"/>
      <c r="E36" s="125"/>
      <c r="F36" s="105"/>
    </row>
    <row r="37" spans="1:6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  <c r="F37" s="105"/>
    </row>
    <row r="38" spans="1:6" x14ac:dyDescent="0.15">
      <c r="A38" s="182" t="s">
        <v>342</v>
      </c>
      <c r="B38" s="182"/>
      <c r="C38" s="182"/>
      <c r="D38" s="182"/>
      <c r="E38" s="125">
        <f>KENKOSINDANJUSHINN</f>
        <v>2500</v>
      </c>
      <c r="F38" s="37"/>
    </row>
    <row r="39" spans="1:6" x14ac:dyDescent="0.15">
      <c r="E39" s="65">
        <f>SUM(E31:E38)</f>
        <v>5000</v>
      </c>
      <c r="F39" s="65">
        <f>SUM(F31:F38)</f>
        <v>0</v>
      </c>
    </row>
  </sheetData>
  <customSheetViews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1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4" width="11.625" style="60" customWidth="1"/>
    <col min="5" max="5" width="11.625" style="5" customWidth="1"/>
    <col min="6" max="6" width="17.625" style="5" customWidth="1"/>
    <col min="7" max="16384" width="9" style="5"/>
  </cols>
  <sheetData>
    <row r="1" spans="1:8" x14ac:dyDescent="0.15">
      <c r="A1" s="181" t="s">
        <v>124</v>
      </c>
      <c r="B1" s="181"/>
      <c r="C1" s="181"/>
      <c r="D1" s="181"/>
      <c r="E1" s="181"/>
      <c r="F1" s="181"/>
    </row>
    <row r="2" spans="1:8" x14ac:dyDescent="0.15">
      <c r="A2" s="106" t="s">
        <v>319</v>
      </c>
      <c r="B2" s="27"/>
    </row>
    <row r="3" spans="1:8" x14ac:dyDescent="0.15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</row>
    <row r="4" spans="1:8" x14ac:dyDescent="0.15">
      <c r="A4" s="107" t="s">
        <v>180</v>
      </c>
      <c r="B4" s="107" t="s">
        <v>272</v>
      </c>
      <c r="C4" s="107" t="s">
        <v>188</v>
      </c>
      <c r="D4" s="108" t="s">
        <v>67</v>
      </c>
      <c r="E4" s="133">
        <f t="shared" ref="E4:E12" si="0">IF(C4="","",VLOOKUP(C4,教科書一覧,3,FALSE))</f>
        <v>1382</v>
      </c>
      <c r="F4" s="9"/>
      <c r="G4" s="23"/>
      <c r="H4" s="24"/>
    </row>
    <row r="5" spans="1:8" s="15" customFormat="1" x14ac:dyDescent="0.15">
      <c r="A5" s="107" t="s">
        <v>198</v>
      </c>
      <c r="B5" s="107" t="s">
        <v>272</v>
      </c>
      <c r="C5" s="107" t="s">
        <v>203</v>
      </c>
      <c r="D5" s="108" t="s">
        <v>67</v>
      </c>
      <c r="E5" s="133">
        <f t="shared" si="0"/>
        <v>2030</v>
      </c>
      <c r="F5" s="16"/>
      <c r="G5" s="10"/>
    </row>
    <row r="6" spans="1:8" s="15" customFormat="1" x14ac:dyDescent="0.15">
      <c r="A6" s="136" t="s">
        <v>196</v>
      </c>
      <c r="B6" s="137" t="s">
        <v>272</v>
      </c>
      <c r="C6" s="137" t="s">
        <v>202</v>
      </c>
      <c r="D6" s="138" t="s">
        <v>273</v>
      </c>
      <c r="E6" s="139">
        <f t="shared" si="0"/>
        <v>2030</v>
      </c>
      <c r="F6" s="32"/>
      <c r="G6" s="10"/>
    </row>
    <row r="7" spans="1:8" s="15" customFormat="1" x14ac:dyDescent="0.15">
      <c r="A7" s="107" t="s">
        <v>195</v>
      </c>
      <c r="B7" s="107" t="s">
        <v>272</v>
      </c>
      <c r="C7" s="107" t="s">
        <v>284</v>
      </c>
      <c r="D7" s="108" t="s">
        <v>176</v>
      </c>
      <c r="E7" s="133">
        <f t="shared" si="0"/>
        <v>972</v>
      </c>
      <c r="F7" s="17"/>
      <c r="G7" s="10"/>
    </row>
    <row r="8" spans="1:8" s="15" customFormat="1" x14ac:dyDescent="0.15">
      <c r="A8" s="107" t="s">
        <v>199</v>
      </c>
      <c r="B8" s="107" t="s">
        <v>272</v>
      </c>
      <c r="C8" s="107" t="s">
        <v>204</v>
      </c>
      <c r="D8" s="108" t="s">
        <v>67</v>
      </c>
      <c r="E8" s="133">
        <f t="shared" si="0"/>
        <v>2138</v>
      </c>
      <c r="F8" s="17"/>
      <c r="G8" s="10"/>
    </row>
    <row r="9" spans="1:8" s="15" customFormat="1" x14ac:dyDescent="0.15">
      <c r="A9" s="107" t="s">
        <v>215</v>
      </c>
      <c r="B9" s="107" t="s">
        <v>272</v>
      </c>
      <c r="C9" s="107" t="s">
        <v>161</v>
      </c>
      <c r="D9" s="108" t="s">
        <v>179</v>
      </c>
      <c r="E9" s="133">
        <f t="shared" si="0"/>
        <v>0</v>
      </c>
      <c r="F9" s="17"/>
      <c r="G9" s="10"/>
    </row>
    <row r="10" spans="1:8" s="15" customFormat="1" x14ac:dyDescent="0.15">
      <c r="A10" s="107" t="s">
        <v>197</v>
      </c>
      <c r="B10" s="107" t="s">
        <v>6</v>
      </c>
      <c r="C10" s="107" t="s">
        <v>190</v>
      </c>
      <c r="D10" s="108"/>
      <c r="E10" s="133">
        <f t="shared" si="0"/>
        <v>0</v>
      </c>
      <c r="F10" s="17"/>
      <c r="G10" s="10"/>
    </row>
    <row r="11" spans="1:8" x14ac:dyDescent="0.15">
      <c r="A11" s="107" t="s">
        <v>209</v>
      </c>
      <c r="B11" s="107" t="s">
        <v>6</v>
      </c>
      <c r="C11" s="107" t="s">
        <v>330</v>
      </c>
      <c r="D11" s="108"/>
      <c r="E11" s="133">
        <f t="shared" si="0"/>
        <v>0</v>
      </c>
      <c r="F11" s="9"/>
      <c r="G11" s="10"/>
    </row>
    <row r="12" spans="1:8" x14ac:dyDescent="0.15">
      <c r="A12" s="107" t="s">
        <v>200</v>
      </c>
      <c r="B12" s="107" t="s">
        <v>6</v>
      </c>
      <c r="C12" s="107" t="s">
        <v>330</v>
      </c>
      <c r="D12" s="108"/>
      <c r="E12" s="133">
        <f t="shared" si="0"/>
        <v>0</v>
      </c>
      <c r="F12" s="9"/>
      <c r="G12" s="10"/>
    </row>
    <row r="13" spans="1:8" x14ac:dyDescent="0.15">
      <c r="A13" s="107"/>
      <c r="B13" s="107"/>
      <c r="C13" s="108"/>
      <c r="D13" s="108"/>
      <c r="E13" s="133"/>
      <c r="F13" s="9"/>
      <c r="G13" s="10"/>
    </row>
    <row r="14" spans="1:8" x14ac:dyDescent="0.15">
      <c r="A14" s="107"/>
      <c r="B14" s="107"/>
      <c r="C14" s="107"/>
      <c r="D14" s="108"/>
      <c r="E14" s="133"/>
      <c r="F14" s="9"/>
    </row>
    <row r="15" spans="1:8" s="15" customFormat="1" x14ac:dyDescent="0.15">
      <c r="A15" s="107"/>
      <c r="B15" s="107"/>
      <c r="C15" s="107"/>
      <c r="D15" s="108"/>
      <c r="E15" s="125"/>
      <c r="F15" s="36"/>
    </row>
    <row r="16" spans="1:8" s="15" customFormat="1" x14ac:dyDescent="0.15">
      <c r="A16" s="107"/>
      <c r="B16" s="107"/>
      <c r="C16" s="107"/>
      <c r="D16" s="108"/>
      <c r="E16" s="125"/>
      <c r="F16" s="36"/>
    </row>
    <row r="17" spans="1:7" s="15" customFormat="1" x14ac:dyDescent="0.15">
      <c r="A17" s="107"/>
      <c r="B17" s="107"/>
      <c r="C17" s="107"/>
      <c r="D17" s="108"/>
      <c r="E17" s="125"/>
      <c r="F17" s="36"/>
    </row>
    <row r="18" spans="1:7" x14ac:dyDescent="0.15">
      <c r="A18" s="107"/>
      <c r="B18" s="107"/>
      <c r="C18" s="107"/>
      <c r="D18" s="108"/>
      <c r="E18" s="125"/>
      <c r="F18" s="9"/>
    </row>
    <row r="19" spans="1:7" x14ac:dyDescent="0.15">
      <c r="A19" s="107"/>
      <c r="B19" s="107"/>
      <c r="C19" s="107"/>
      <c r="D19" s="108"/>
      <c r="E19" s="125"/>
      <c r="F19" s="9"/>
    </row>
    <row r="20" spans="1:7" x14ac:dyDescent="0.15">
      <c r="A20" s="107"/>
      <c r="B20" s="107"/>
      <c r="C20" s="107"/>
      <c r="D20" s="108"/>
      <c r="E20" s="125"/>
      <c r="F20" s="9"/>
    </row>
    <row r="21" spans="1:7" x14ac:dyDescent="0.15">
      <c r="A21" s="107"/>
      <c r="B21" s="107"/>
      <c r="C21" s="107"/>
      <c r="D21" s="108"/>
      <c r="E21" s="125"/>
      <c r="F21" s="9"/>
    </row>
    <row r="22" spans="1:7" s="15" customFormat="1" x14ac:dyDescent="0.15">
      <c r="A22" s="107"/>
      <c r="B22" s="107"/>
      <c r="C22" s="107"/>
      <c r="D22" s="108"/>
      <c r="E22" s="125"/>
      <c r="F22" s="36"/>
    </row>
    <row r="23" spans="1:7" s="15" customFormat="1" x14ac:dyDescent="0.15">
      <c r="A23" s="107"/>
      <c r="B23" s="107"/>
      <c r="C23" s="107"/>
      <c r="D23" s="108"/>
      <c r="E23" s="125"/>
      <c r="F23" s="17"/>
      <c r="G23" s="10"/>
    </row>
    <row r="24" spans="1:7" x14ac:dyDescent="0.15">
      <c r="A24" s="107"/>
      <c r="B24" s="107"/>
      <c r="C24" s="107"/>
      <c r="D24" s="108"/>
      <c r="E24" s="125"/>
      <c r="F24" s="9"/>
      <c r="G24" s="10"/>
    </row>
    <row r="25" spans="1:7" x14ac:dyDescent="0.15">
      <c r="A25" s="107"/>
      <c r="B25" s="107"/>
      <c r="C25" s="107"/>
      <c r="D25" s="108"/>
      <c r="E25" s="125"/>
      <c r="F25" s="9"/>
      <c r="G25" s="10"/>
    </row>
    <row r="26" spans="1:7" x14ac:dyDescent="0.15">
      <c r="B26" s="174">
        <f>COUNTIF(B4:B25,"購入")</f>
        <v>6</v>
      </c>
      <c r="D26" s="60" t="s">
        <v>5</v>
      </c>
      <c r="E26" s="11">
        <f>SUM(E4:E25)</f>
        <v>8552</v>
      </c>
    </row>
    <row r="29" spans="1:7" x14ac:dyDescent="0.15">
      <c r="A29" s="5" t="s">
        <v>115</v>
      </c>
      <c r="B29" s="135">
        <f>COUNTIF(B4:B25,"不要")</f>
        <v>3</v>
      </c>
      <c r="C29" s="5" t="s">
        <v>113</v>
      </c>
      <c r="E29" s="5">
        <f>500*B29</f>
        <v>1500</v>
      </c>
      <c r="F29" s="5" t="s">
        <v>114</v>
      </c>
    </row>
    <row r="30" spans="1:7" x14ac:dyDescent="0.15">
      <c r="A30" s="5" t="s">
        <v>104</v>
      </c>
    </row>
    <row r="31" spans="1:7" x14ac:dyDescent="0.15">
      <c r="A31" s="182" t="s">
        <v>110</v>
      </c>
      <c r="B31" s="182"/>
      <c r="C31" s="182"/>
      <c r="D31" s="182"/>
      <c r="E31" s="125"/>
      <c r="F31" s="5" t="s">
        <v>365</v>
      </c>
    </row>
    <row r="32" spans="1:7" x14ac:dyDescent="0.15">
      <c r="A32" s="182"/>
      <c r="B32" s="182"/>
      <c r="C32" s="182"/>
      <c r="D32" s="182"/>
      <c r="E32" s="125"/>
      <c r="F32" s="11">
        <f>E26+E29+E39</f>
        <v>16852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358</v>
      </c>
    </row>
    <row r="34" spans="1:5" s="15" customFormat="1" x14ac:dyDescent="0.15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6800</v>
      </c>
    </row>
  </sheetData>
  <customSheetViews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 x14ac:dyDescent="0.1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6" x14ac:dyDescent="0.15">
      <c r="A1" s="181" t="s">
        <v>125</v>
      </c>
      <c r="B1" s="181"/>
      <c r="C1" s="181"/>
      <c r="D1" s="181"/>
      <c r="E1" s="181"/>
      <c r="F1" s="181"/>
    </row>
    <row r="2" spans="1:6" x14ac:dyDescent="0.15">
      <c r="A2" s="106" t="s">
        <v>319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 x14ac:dyDescent="0.15">
      <c r="A4" s="107" t="s">
        <v>194</v>
      </c>
      <c r="B4" s="107" t="s">
        <v>332</v>
      </c>
      <c r="C4" s="108" t="s">
        <v>201</v>
      </c>
      <c r="D4" s="124" t="s">
        <v>67</v>
      </c>
      <c r="E4" s="125">
        <v>1922</v>
      </c>
      <c r="F4" s="7"/>
    </row>
    <row r="5" spans="1:6" x14ac:dyDescent="0.15">
      <c r="A5" s="107" t="s">
        <v>209</v>
      </c>
      <c r="B5" s="107" t="s">
        <v>6</v>
      </c>
      <c r="C5" s="108" t="s">
        <v>214</v>
      </c>
      <c r="D5" s="119" t="str">
        <f t="shared" ref="D5:D25" si="0">IF(OR(B5="不要",B5=""),"",VLOOKUP(C5,教科書一覧,2,FALSE))</f>
        <v/>
      </c>
      <c r="E5" s="125" t="str">
        <f t="shared" ref="E5:E25" si="1">IF(OR(B5="",B5="不要"),"",VLOOKUP(C5,教科書一覧,3,FALSE))</f>
        <v/>
      </c>
      <c r="F5" s="7"/>
    </row>
    <row r="6" spans="1:6" x14ac:dyDescent="0.15">
      <c r="A6" s="107" t="s">
        <v>206</v>
      </c>
      <c r="B6" s="107" t="s">
        <v>332</v>
      </c>
      <c r="C6" s="108" t="s">
        <v>158</v>
      </c>
      <c r="D6" s="107" t="str">
        <f t="shared" si="0"/>
        <v>IPA</v>
      </c>
      <c r="E6" s="125">
        <f t="shared" si="1"/>
        <v>540</v>
      </c>
      <c r="F6" s="7"/>
    </row>
    <row r="7" spans="1:6" x14ac:dyDescent="0.15">
      <c r="A7" s="107" t="s">
        <v>166</v>
      </c>
      <c r="B7" s="107" t="s">
        <v>332</v>
      </c>
      <c r="C7" s="108" t="s">
        <v>283</v>
      </c>
      <c r="D7" s="107" t="str">
        <f t="shared" si="0"/>
        <v>実教出版</v>
      </c>
      <c r="E7" s="125">
        <f t="shared" si="1"/>
        <v>972</v>
      </c>
      <c r="F7" s="7"/>
    </row>
    <row r="8" spans="1:6" x14ac:dyDescent="0.15">
      <c r="A8" s="107" t="s">
        <v>210</v>
      </c>
      <c r="B8" s="107" t="s">
        <v>332</v>
      </c>
      <c r="C8" s="108" t="s">
        <v>282</v>
      </c>
      <c r="D8" s="107" t="str">
        <f t="shared" si="0"/>
        <v>FOM出版</v>
      </c>
      <c r="E8" s="125">
        <f t="shared" si="1"/>
        <v>2160</v>
      </c>
      <c r="F8" s="7"/>
    </row>
    <row r="9" spans="1:6" x14ac:dyDescent="0.15">
      <c r="A9" s="107" t="s">
        <v>195</v>
      </c>
      <c r="B9" s="107" t="s">
        <v>332</v>
      </c>
      <c r="C9" s="108" t="s">
        <v>284</v>
      </c>
      <c r="D9" s="107" t="str">
        <f t="shared" si="0"/>
        <v>実教出版</v>
      </c>
      <c r="E9" s="125">
        <f t="shared" si="1"/>
        <v>972</v>
      </c>
      <c r="F9" s="7"/>
    </row>
    <row r="10" spans="1:6" x14ac:dyDescent="0.15">
      <c r="A10" s="107" t="s">
        <v>207</v>
      </c>
      <c r="B10" s="107" t="s">
        <v>332</v>
      </c>
      <c r="C10" s="108" t="s">
        <v>213</v>
      </c>
      <c r="D10" s="107" t="str">
        <f t="shared" si="0"/>
        <v>実教出版</v>
      </c>
      <c r="E10" s="125">
        <f t="shared" si="1"/>
        <v>2160</v>
      </c>
      <c r="F10" s="7"/>
    </row>
    <row r="11" spans="1:6" s="15" customFormat="1" x14ac:dyDescent="0.15">
      <c r="A11" s="107" t="s">
        <v>168</v>
      </c>
      <c r="B11" s="107" t="s">
        <v>332</v>
      </c>
      <c r="C11" s="108" t="s">
        <v>15</v>
      </c>
      <c r="D11" s="107" t="str">
        <f t="shared" si="0"/>
        <v>早稲田教育出版</v>
      </c>
      <c r="E11" s="125">
        <f t="shared" si="1"/>
        <v>1080</v>
      </c>
      <c r="F11" s="37"/>
    </row>
    <row r="12" spans="1:6" s="15" customFormat="1" x14ac:dyDescent="0.15">
      <c r="A12" s="107" t="s">
        <v>169</v>
      </c>
      <c r="B12" s="107" t="s">
        <v>332</v>
      </c>
      <c r="C12" s="108" t="s">
        <v>160</v>
      </c>
      <c r="D12" s="107" t="str">
        <f t="shared" si="0"/>
        <v>早稲田教育出版</v>
      </c>
      <c r="E12" s="125">
        <f t="shared" si="1"/>
        <v>1296</v>
      </c>
      <c r="F12" s="37"/>
    </row>
    <row r="13" spans="1:6" s="15" customFormat="1" x14ac:dyDescent="0.15">
      <c r="A13" s="107" t="s">
        <v>212</v>
      </c>
      <c r="B13" s="107" t="s">
        <v>6</v>
      </c>
      <c r="C13" s="108" t="s">
        <v>190</v>
      </c>
      <c r="D13" s="107" t="str">
        <f t="shared" si="0"/>
        <v/>
      </c>
      <c r="E13" s="125" t="str">
        <f t="shared" si="1"/>
        <v/>
      </c>
      <c r="F13" s="37"/>
    </row>
    <row r="14" spans="1:6" s="15" customFormat="1" x14ac:dyDescent="0.15">
      <c r="A14" s="107" t="s">
        <v>171</v>
      </c>
      <c r="B14" s="107" t="s">
        <v>332</v>
      </c>
      <c r="C14" s="108" t="s">
        <v>162</v>
      </c>
      <c r="D14" s="107" t="str">
        <f t="shared" si="0"/>
        <v>職業教育・キャリア教育財団</v>
      </c>
      <c r="E14" s="125">
        <f t="shared" si="1"/>
        <v>2160</v>
      </c>
      <c r="F14" s="37"/>
    </row>
    <row r="15" spans="1:6" s="15" customFormat="1" x14ac:dyDescent="0.15">
      <c r="A15" s="107" t="s">
        <v>197</v>
      </c>
      <c r="B15" s="107" t="s">
        <v>6</v>
      </c>
      <c r="C15" s="108" t="s">
        <v>190</v>
      </c>
      <c r="D15" s="107" t="str">
        <f t="shared" si="0"/>
        <v/>
      </c>
      <c r="E15" s="125" t="str">
        <f t="shared" si="1"/>
        <v/>
      </c>
      <c r="F15" s="37"/>
    </row>
    <row r="16" spans="1:6" s="15" customFormat="1" x14ac:dyDescent="0.15">
      <c r="A16" s="107" t="s">
        <v>165</v>
      </c>
      <c r="B16" s="114" t="s">
        <v>332</v>
      </c>
      <c r="C16" s="115" t="s">
        <v>292</v>
      </c>
      <c r="D16" s="114" t="str">
        <f t="shared" si="0"/>
        <v>FOM出版</v>
      </c>
      <c r="E16" s="133">
        <f t="shared" si="1"/>
        <v>1080</v>
      </c>
      <c r="F16" s="8"/>
    </row>
    <row r="17" spans="1:6" x14ac:dyDescent="0.15">
      <c r="A17" s="107" t="s">
        <v>174</v>
      </c>
      <c r="B17" s="114" t="s">
        <v>6</v>
      </c>
      <c r="C17" s="115"/>
      <c r="D17" s="114" t="str">
        <f t="shared" si="0"/>
        <v/>
      </c>
      <c r="E17" s="133" t="str">
        <f t="shared" si="1"/>
        <v/>
      </c>
      <c r="F17" s="8"/>
    </row>
    <row r="18" spans="1:6" x14ac:dyDescent="0.15">
      <c r="A18" s="107"/>
      <c r="B18" s="114"/>
      <c r="C18" s="115"/>
      <c r="D18" s="114" t="str">
        <f t="shared" si="0"/>
        <v/>
      </c>
      <c r="E18" s="133" t="str">
        <f t="shared" si="1"/>
        <v/>
      </c>
      <c r="F18" s="8"/>
    </row>
    <row r="19" spans="1:6" x14ac:dyDescent="0.15">
      <c r="A19" s="107"/>
      <c r="B19" s="107"/>
      <c r="C19" s="108"/>
      <c r="D19" s="107" t="str">
        <f t="shared" si="0"/>
        <v/>
      </c>
      <c r="E19" s="125" t="str">
        <f t="shared" si="1"/>
        <v/>
      </c>
      <c r="F19" s="7"/>
    </row>
    <row r="20" spans="1:6" s="15" customFormat="1" x14ac:dyDescent="0.15">
      <c r="A20" s="107"/>
      <c r="B20" s="107"/>
      <c r="C20" s="108"/>
      <c r="D20" s="107" t="str">
        <f t="shared" si="0"/>
        <v/>
      </c>
      <c r="E20" s="125" t="str">
        <f t="shared" si="1"/>
        <v/>
      </c>
      <c r="F20" s="37"/>
    </row>
    <row r="21" spans="1:6" s="15" customFormat="1" x14ac:dyDescent="0.15">
      <c r="A21" s="107"/>
      <c r="B21" s="107"/>
      <c r="C21" s="108"/>
      <c r="D21" s="107" t="str">
        <f t="shared" si="0"/>
        <v/>
      </c>
      <c r="E21" s="125" t="str">
        <f t="shared" si="1"/>
        <v/>
      </c>
      <c r="F21" s="37"/>
    </row>
    <row r="22" spans="1:6" s="15" customFormat="1" x14ac:dyDescent="0.15">
      <c r="A22" s="107"/>
      <c r="B22" s="107"/>
      <c r="C22" s="108"/>
      <c r="D22" s="107" t="str">
        <f t="shared" si="0"/>
        <v/>
      </c>
      <c r="E22" s="125" t="str">
        <f t="shared" si="1"/>
        <v/>
      </c>
      <c r="F22" s="37"/>
    </row>
    <row r="23" spans="1:6" x14ac:dyDescent="0.15">
      <c r="A23" s="107"/>
      <c r="B23" s="107"/>
      <c r="C23" s="108"/>
      <c r="D23" s="107" t="str">
        <f t="shared" si="0"/>
        <v/>
      </c>
      <c r="E23" s="125" t="str">
        <f t="shared" si="1"/>
        <v/>
      </c>
      <c r="F23" s="7"/>
    </row>
    <row r="24" spans="1:6" x14ac:dyDescent="0.15">
      <c r="A24" s="107"/>
      <c r="B24" s="107"/>
      <c r="C24" s="108"/>
      <c r="D24" s="107" t="str">
        <f t="shared" si="0"/>
        <v/>
      </c>
      <c r="E24" s="125" t="str">
        <f t="shared" si="1"/>
        <v/>
      </c>
      <c r="F24" s="7"/>
    </row>
    <row r="25" spans="1:6" x14ac:dyDescent="0.15">
      <c r="A25" s="107"/>
      <c r="B25" s="107"/>
      <c r="C25" s="108"/>
      <c r="D25" s="107" t="str">
        <f t="shared" si="0"/>
        <v/>
      </c>
      <c r="E25" s="125" t="str">
        <f t="shared" si="1"/>
        <v/>
      </c>
      <c r="F25" s="7"/>
    </row>
    <row r="26" spans="1:6" x14ac:dyDescent="0.15">
      <c r="B26" s="174">
        <f>COUNTIF(B4:B25,"購入")</f>
        <v>10</v>
      </c>
      <c r="D26" s="5" t="s">
        <v>5</v>
      </c>
      <c r="E26" s="5">
        <f>SUM(E4:E25)</f>
        <v>14342</v>
      </c>
    </row>
    <row r="29" spans="1:6" x14ac:dyDescent="0.15">
      <c r="A29" s="5" t="s">
        <v>115</v>
      </c>
      <c r="B29" s="135">
        <f>COUNTIF(B4:B25,"不要")</f>
        <v>4</v>
      </c>
      <c r="C29" s="5" t="s">
        <v>113</v>
      </c>
      <c r="E29" s="5">
        <f>500*B29</f>
        <v>2000</v>
      </c>
      <c r="F29" s="5" t="s">
        <v>114</v>
      </c>
    </row>
    <row r="30" spans="1:6" x14ac:dyDescent="0.15">
      <c r="A30" s="5" t="s">
        <v>104</v>
      </c>
    </row>
    <row r="31" spans="1:6" x14ac:dyDescent="0.15">
      <c r="A31" s="182" t="s">
        <v>109</v>
      </c>
      <c r="B31" s="182"/>
      <c r="C31" s="182"/>
      <c r="D31" s="182"/>
      <c r="E31" s="125"/>
      <c r="F31" s="5" t="s">
        <v>365</v>
      </c>
    </row>
    <row r="32" spans="1:6" x14ac:dyDescent="0.15">
      <c r="A32" s="182"/>
      <c r="B32" s="182"/>
      <c r="C32" s="182"/>
      <c r="D32" s="182"/>
      <c r="E32" s="125"/>
      <c r="F32" s="11">
        <f>E26+E29+E39</f>
        <v>23142</v>
      </c>
    </row>
    <row r="33" spans="1:5" s="15" customFormat="1" x14ac:dyDescent="0.15">
      <c r="A33" s="148" t="s">
        <v>349</v>
      </c>
      <c r="B33" s="149"/>
      <c r="C33" s="149"/>
      <c r="D33" s="150"/>
      <c r="E33" s="125" t="s">
        <v>357</v>
      </c>
    </row>
    <row r="34" spans="1:5" s="15" customFormat="1" x14ac:dyDescent="0.15">
      <c r="A34" s="183" t="s">
        <v>348</v>
      </c>
      <c r="B34" s="184"/>
      <c r="C34" s="184"/>
      <c r="D34" s="185"/>
      <c r="E34" s="125">
        <f>SOTUGYOUSHASINDAI</f>
        <v>1800</v>
      </c>
    </row>
    <row r="35" spans="1:5" s="15" customFormat="1" x14ac:dyDescent="0.15">
      <c r="A35" s="183" t="s">
        <v>347</v>
      </c>
      <c r="B35" s="184"/>
      <c r="C35" s="184"/>
      <c r="D35" s="185"/>
      <c r="E35" s="125"/>
    </row>
    <row r="36" spans="1:5" s="15" customFormat="1" x14ac:dyDescent="0.15">
      <c r="A36" s="183" t="s">
        <v>345</v>
      </c>
      <c r="B36" s="184"/>
      <c r="C36" s="184"/>
      <c r="D36" s="185"/>
      <c r="E36" s="125"/>
    </row>
    <row r="37" spans="1:5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6800</v>
      </c>
    </row>
  </sheetData>
  <customSheetViews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 C4:C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4" width="11.625" style="60" customWidth="1"/>
    <col min="5" max="5" width="11.625" customWidth="1"/>
    <col min="6" max="6" width="17.625" customWidth="1"/>
    <col min="8" max="10" width="9" style="15"/>
  </cols>
  <sheetData>
    <row r="1" spans="1:10" x14ac:dyDescent="0.15">
      <c r="A1" s="181" t="s">
        <v>126</v>
      </c>
      <c r="B1" s="181"/>
      <c r="C1" s="181"/>
      <c r="D1" s="181"/>
      <c r="E1" s="181"/>
      <c r="F1" s="181"/>
    </row>
    <row r="2" spans="1:10" x14ac:dyDescent="0.15">
      <c r="A2" s="106" t="s">
        <v>319</v>
      </c>
      <c r="B2" s="27"/>
    </row>
    <row r="3" spans="1:10" x14ac:dyDescent="0.15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</row>
    <row r="4" spans="1:10" x14ac:dyDescent="0.15">
      <c r="A4" s="114" t="s">
        <v>165</v>
      </c>
      <c r="B4" s="114" t="s">
        <v>333</v>
      </c>
      <c r="C4" s="114" t="s">
        <v>292</v>
      </c>
      <c r="D4" s="119" t="s">
        <v>13</v>
      </c>
      <c r="E4" s="116">
        <f t="shared" ref="E4:E9" si="0">IF(OR(B4="不要",B4=""),"",VLOOKUP(C4,教科書一覧,3,FALSE))</f>
        <v>1080</v>
      </c>
      <c r="F4" s="8"/>
      <c r="G4" s="82"/>
      <c r="H4" s="24"/>
      <c r="I4" s="75"/>
      <c r="J4" s="24"/>
    </row>
    <row r="5" spans="1:10" s="5" customFormat="1" x14ac:dyDescent="0.15">
      <c r="A5" s="114" t="s">
        <v>271</v>
      </c>
      <c r="B5" s="114" t="s">
        <v>333</v>
      </c>
      <c r="C5" s="114" t="s">
        <v>158</v>
      </c>
      <c r="D5" s="115" t="s">
        <v>175</v>
      </c>
      <c r="E5" s="122">
        <f t="shared" si="0"/>
        <v>540</v>
      </c>
      <c r="F5" s="8"/>
      <c r="G5" s="82"/>
      <c r="H5" s="10"/>
      <c r="I5" s="75"/>
      <c r="J5" s="75"/>
    </row>
    <row r="6" spans="1:10" s="5" customFormat="1" x14ac:dyDescent="0.15">
      <c r="A6" s="114" t="s">
        <v>166</v>
      </c>
      <c r="B6" s="114" t="s">
        <v>333</v>
      </c>
      <c r="C6" s="114" t="s">
        <v>283</v>
      </c>
      <c r="D6" s="115" t="s">
        <v>176</v>
      </c>
      <c r="E6" s="122">
        <f t="shared" si="0"/>
        <v>972</v>
      </c>
      <c r="F6" s="8"/>
      <c r="G6" s="82"/>
      <c r="H6" s="10"/>
      <c r="I6" s="24"/>
      <c r="J6" s="24"/>
    </row>
    <row r="7" spans="1:10" s="5" customFormat="1" x14ac:dyDescent="0.15">
      <c r="A7" s="114" t="s">
        <v>167</v>
      </c>
      <c r="B7" s="114" t="s">
        <v>333</v>
      </c>
      <c r="C7" s="114" t="s">
        <v>159</v>
      </c>
      <c r="D7" s="115" t="s">
        <v>177</v>
      </c>
      <c r="E7" s="122">
        <f t="shared" si="0"/>
        <v>0</v>
      </c>
      <c r="F7" s="8"/>
      <c r="G7" s="82"/>
      <c r="H7" s="10"/>
      <c r="I7" s="24"/>
      <c r="J7" s="24"/>
    </row>
    <row r="8" spans="1:10" x14ac:dyDescent="0.15">
      <c r="A8" s="114" t="s">
        <v>171</v>
      </c>
      <c r="B8" s="114" t="s">
        <v>133</v>
      </c>
      <c r="C8" s="114" t="s">
        <v>162</v>
      </c>
      <c r="D8" s="120" t="s">
        <v>16</v>
      </c>
      <c r="E8" s="122">
        <f t="shared" si="0"/>
        <v>2160</v>
      </c>
      <c r="F8" s="8"/>
      <c r="G8" s="82"/>
      <c r="H8" s="10"/>
      <c r="I8" s="24"/>
      <c r="J8" s="75"/>
    </row>
    <row r="9" spans="1:10" x14ac:dyDescent="0.15">
      <c r="A9" s="114" t="s">
        <v>172</v>
      </c>
      <c r="B9" s="114" t="s">
        <v>133</v>
      </c>
      <c r="C9" s="114" t="s">
        <v>163</v>
      </c>
      <c r="D9" s="115"/>
      <c r="E9" s="122">
        <f t="shared" si="0"/>
        <v>2570</v>
      </c>
      <c r="F9" s="8"/>
      <c r="G9" s="82"/>
      <c r="H9" s="10"/>
      <c r="I9" s="24"/>
      <c r="J9" s="75"/>
    </row>
    <row r="10" spans="1:10" x14ac:dyDescent="0.15">
      <c r="A10" s="114" t="s">
        <v>367</v>
      </c>
      <c r="B10" s="114" t="s">
        <v>368</v>
      </c>
      <c r="C10" s="114"/>
      <c r="D10" s="115"/>
      <c r="E10" s="122" t="str">
        <f t="shared" ref="E10:E25" si="1">IF(OR(B10="不要",B10=""),"",VLOOKUP(C10,教科書一覧,3,FALSE))</f>
        <v/>
      </c>
      <c r="F10" s="8"/>
      <c r="G10" s="23"/>
      <c r="H10" s="10"/>
      <c r="I10" s="24"/>
      <c r="J10" s="24"/>
    </row>
    <row r="11" spans="1:10" s="5" customFormat="1" x14ac:dyDescent="0.15">
      <c r="A11" s="114" t="s">
        <v>173</v>
      </c>
      <c r="B11" s="114" t="s">
        <v>6</v>
      </c>
      <c r="C11" s="115" t="s">
        <v>164</v>
      </c>
      <c r="D11" s="115"/>
      <c r="E11" s="122" t="str">
        <f t="shared" si="1"/>
        <v/>
      </c>
      <c r="F11" s="8"/>
      <c r="G11" s="82"/>
      <c r="H11" s="10"/>
      <c r="I11" s="24"/>
      <c r="J11" s="24"/>
    </row>
    <row r="12" spans="1:10" s="15" customFormat="1" x14ac:dyDescent="0.15">
      <c r="A12" s="114" t="s">
        <v>174</v>
      </c>
      <c r="B12" s="114" t="s">
        <v>6</v>
      </c>
      <c r="C12" s="114" t="s">
        <v>190</v>
      </c>
      <c r="D12" s="115"/>
      <c r="E12" s="122" t="str">
        <f t="shared" si="1"/>
        <v/>
      </c>
      <c r="F12" s="8"/>
      <c r="G12" s="82"/>
      <c r="H12" s="10"/>
    </row>
    <row r="13" spans="1:10" s="15" customFormat="1" x14ac:dyDescent="0.15">
      <c r="A13" s="121" t="s">
        <v>376</v>
      </c>
      <c r="B13" s="121" t="s">
        <v>6</v>
      </c>
      <c r="C13" s="121"/>
      <c r="D13" s="164"/>
      <c r="E13" s="165" t="str">
        <f t="shared" si="1"/>
        <v/>
      </c>
      <c r="F13" s="8"/>
      <c r="G13" s="82"/>
      <c r="H13" s="10"/>
    </row>
    <row r="14" spans="1:10" s="15" customFormat="1" x14ac:dyDescent="0.15">
      <c r="A14" s="114"/>
      <c r="B14" s="114"/>
      <c r="C14" s="114"/>
      <c r="D14" s="115"/>
      <c r="E14" s="122" t="str">
        <f t="shared" si="1"/>
        <v/>
      </c>
      <c r="F14" s="8"/>
      <c r="G14" s="82"/>
      <c r="H14" s="10"/>
    </row>
    <row r="15" spans="1:10" s="15" customFormat="1" x14ac:dyDescent="0.15">
      <c r="A15" s="114"/>
      <c r="B15" s="114"/>
      <c r="C15" s="114"/>
      <c r="D15" s="115"/>
      <c r="E15" s="122" t="str">
        <f t="shared" si="1"/>
        <v/>
      </c>
      <c r="F15" s="8"/>
      <c r="G15" s="82"/>
      <c r="H15" s="10"/>
    </row>
    <row r="16" spans="1:10" s="15" customFormat="1" x14ac:dyDescent="0.15">
      <c r="A16" s="114"/>
      <c r="B16" s="114"/>
      <c r="C16" s="114"/>
      <c r="D16" s="115"/>
      <c r="E16" s="122" t="str">
        <f t="shared" si="1"/>
        <v/>
      </c>
      <c r="F16" s="8"/>
      <c r="G16" s="82"/>
      <c r="H16" s="10"/>
    </row>
    <row r="17" spans="1:10" s="15" customFormat="1" x14ac:dyDescent="0.15">
      <c r="A17" s="114"/>
      <c r="B17" s="114"/>
      <c r="C17" s="114"/>
      <c r="D17" s="115"/>
      <c r="E17" s="122" t="str">
        <f t="shared" si="1"/>
        <v/>
      </c>
      <c r="F17" s="8"/>
      <c r="G17" s="82"/>
    </row>
    <row r="18" spans="1:10" s="15" customFormat="1" x14ac:dyDescent="0.15">
      <c r="A18" s="114"/>
      <c r="B18" s="114"/>
      <c r="C18" s="114"/>
      <c r="D18" s="115"/>
      <c r="E18" s="122" t="str">
        <f t="shared" si="1"/>
        <v/>
      </c>
      <c r="F18" s="8"/>
      <c r="G18" s="82"/>
    </row>
    <row r="19" spans="1:10" s="15" customFormat="1" x14ac:dyDescent="0.15">
      <c r="A19" s="114"/>
      <c r="B19" s="114"/>
      <c r="C19" s="114"/>
      <c r="D19" s="115"/>
      <c r="E19" s="122" t="str">
        <f t="shared" si="1"/>
        <v/>
      </c>
      <c r="F19" s="8"/>
      <c r="G19" s="82"/>
    </row>
    <row r="20" spans="1:10" s="15" customFormat="1" x14ac:dyDescent="0.15">
      <c r="A20" s="114"/>
      <c r="B20" s="114"/>
      <c r="C20" s="114"/>
      <c r="D20" s="115"/>
      <c r="E20" s="122" t="str">
        <f t="shared" si="1"/>
        <v/>
      </c>
      <c r="F20" s="8"/>
      <c r="G20" s="82"/>
    </row>
    <row r="21" spans="1:10" s="5" customFormat="1" x14ac:dyDescent="0.15">
      <c r="A21" s="114"/>
      <c r="B21" s="114"/>
      <c r="C21" s="114"/>
      <c r="D21" s="123"/>
      <c r="E21" s="122" t="str">
        <f t="shared" si="1"/>
        <v/>
      </c>
      <c r="F21" s="8"/>
      <c r="G21" s="82"/>
      <c r="H21" s="15"/>
      <c r="I21" s="15"/>
      <c r="J21" s="15"/>
    </row>
    <row r="22" spans="1:10" s="5" customFormat="1" x14ac:dyDescent="0.15">
      <c r="A22" s="114"/>
      <c r="B22" s="114"/>
      <c r="C22" s="114"/>
      <c r="D22" s="115"/>
      <c r="E22" s="122" t="str">
        <f t="shared" si="1"/>
        <v/>
      </c>
      <c r="F22" s="8"/>
      <c r="G22" s="82"/>
      <c r="H22" s="15"/>
      <c r="I22" s="15"/>
      <c r="J22" s="15"/>
    </row>
    <row r="23" spans="1:10" s="5" customFormat="1" x14ac:dyDescent="0.15">
      <c r="A23" s="114"/>
      <c r="B23" s="114"/>
      <c r="C23" s="114"/>
      <c r="D23" s="119"/>
      <c r="E23" s="116" t="str">
        <f t="shared" si="1"/>
        <v/>
      </c>
      <c r="F23" s="8"/>
      <c r="G23" s="82"/>
      <c r="H23" s="15"/>
      <c r="I23" s="6"/>
      <c r="J23" s="6"/>
    </row>
    <row r="24" spans="1:10" s="15" customFormat="1" x14ac:dyDescent="0.15">
      <c r="A24" s="114"/>
      <c r="B24" s="114"/>
      <c r="C24" s="114"/>
      <c r="D24" s="115"/>
      <c r="E24" s="122" t="str">
        <f t="shared" si="1"/>
        <v/>
      </c>
      <c r="F24" s="8"/>
      <c r="G24" s="23"/>
      <c r="H24" s="10"/>
    </row>
    <row r="25" spans="1:10" x14ac:dyDescent="0.15">
      <c r="A25" s="114"/>
      <c r="B25" s="114"/>
      <c r="C25" s="114"/>
      <c r="D25" s="115"/>
      <c r="E25" s="122" t="str">
        <f t="shared" si="1"/>
        <v/>
      </c>
      <c r="F25" s="8"/>
      <c r="G25" s="82"/>
    </row>
    <row r="26" spans="1:10" x14ac:dyDescent="0.15">
      <c r="B26" s="174">
        <f>COUNTIF(B4:B25,"購入")</f>
        <v>6</v>
      </c>
      <c r="D26" s="60" t="s">
        <v>5</v>
      </c>
      <c r="E26" s="21">
        <f>SUM(E5:E25)</f>
        <v>6242</v>
      </c>
    </row>
    <row r="27" spans="1:10" x14ac:dyDescent="0.15">
      <c r="A27" s="82"/>
      <c r="B27" s="10"/>
      <c r="C27" s="15"/>
    </row>
    <row r="28" spans="1:10" x14ac:dyDescent="0.15">
      <c r="A28" s="15"/>
      <c r="C28" s="10"/>
      <c r="E28" s="15"/>
    </row>
    <row r="29" spans="1:10" x14ac:dyDescent="0.15">
      <c r="A29" t="s">
        <v>116</v>
      </c>
      <c r="B29" s="135">
        <f>COUNTIF(B4:B25,"不要")</f>
        <v>4</v>
      </c>
      <c r="C29" t="s">
        <v>113</v>
      </c>
      <c r="E29">
        <f>500*B29</f>
        <v>2000</v>
      </c>
      <c r="F29" t="s">
        <v>114</v>
      </c>
    </row>
    <row r="30" spans="1:10" x14ac:dyDescent="0.15">
      <c r="A30" t="s">
        <v>104</v>
      </c>
    </row>
    <row r="31" spans="1:10" x14ac:dyDescent="0.15">
      <c r="A31" s="182" t="s">
        <v>108</v>
      </c>
      <c r="B31" s="182"/>
      <c r="C31" s="182"/>
      <c r="D31" s="182"/>
      <c r="E31" s="125"/>
    </row>
    <row r="32" spans="1:10" x14ac:dyDescent="0.15">
      <c r="A32" s="182"/>
      <c r="B32" s="182"/>
      <c r="C32" s="182"/>
      <c r="D32" s="182"/>
      <c r="E32" s="125"/>
      <c r="F32" t="s">
        <v>365</v>
      </c>
    </row>
    <row r="33" spans="1:6" s="15" customFormat="1" x14ac:dyDescent="0.15">
      <c r="A33" s="148" t="s">
        <v>349</v>
      </c>
      <c r="B33" s="149"/>
      <c r="C33" s="149"/>
      <c r="D33" s="150"/>
      <c r="E33" s="125"/>
      <c r="F33" s="21">
        <f>E26+E29+E39</f>
        <v>13242</v>
      </c>
    </row>
    <row r="34" spans="1:6" s="15" customFormat="1" x14ac:dyDescent="0.15">
      <c r="A34" s="183" t="s">
        <v>348</v>
      </c>
      <c r="B34" s="184"/>
      <c r="C34" s="184"/>
      <c r="D34" s="185"/>
      <c r="E34" s="125" t="s">
        <v>359</v>
      </c>
    </row>
    <row r="35" spans="1:6" s="15" customFormat="1" x14ac:dyDescent="0.15">
      <c r="A35" s="183" t="s">
        <v>347</v>
      </c>
      <c r="B35" s="184"/>
      <c r="C35" s="184"/>
      <c r="D35" s="185"/>
      <c r="E35" s="125"/>
    </row>
    <row r="36" spans="1:6" s="15" customFormat="1" x14ac:dyDescent="0.15">
      <c r="A36" s="183" t="s">
        <v>345</v>
      </c>
      <c r="B36" s="184"/>
      <c r="C36" s="184"/>
      <c r="D36" s="185"/>
      <c r="E36" s="125"/>
    </row>
    <row r="37" spans="1:6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6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6" x14ac:dyDescent="0.15">
      <c r="E39" s="65">
        <f>SUM(E31:E38)</f>
        <v>5000</v>
      </c>
    </row>
  </sheetData>
  <customSheetViews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 x14ac:dyDescent="0.15"/>
  <cols>
    <col min="1" max="1" width="27.625" style="15" customWidth="1"/>
    <col min="2" max="2" width="9.625" style="15" customWidth="1"/>
    <col min="3" max="3" width="50.625" style="15" customWidth="1"/>
    <col min="4" max="4" width="11.625" style="60" customWidth="1"/>
    <col min="5" max="5" width="11.625" style="15" customWidth="1"/>
    <col min="6" max="6" width="17.625" style="15" customWidth="1"/>
    <col min="7" max="16384" width="9" style="15"/>
  </cols>
  <sheetData>
    <row r="1" spans="1:10" x14ac:dyDescent="0.15">
      <c r="A1" s="181" t="s">
        <v>126</v>
      </c>
      <c r="B1" s="181"/>
      <c r="C1" s="181"/>
      <c r="D1" s="181"/>
      <c r="E1" s="181"/>
      <c r="F1" s="181"/>
    </row>
    <row r="2" spans="1:10" x14ac:dyDescent="0.15">
      <c r="A2" s="106" t="s">
        <v>319</v>
      </c>
      <c r="B2" s="27"/>
    </row>
    <row r="3" spans="1:10" x14ac:dyDescent="0.15">
      <c r="A3" s="158" t="s">
        <v>0</v>
      </c>
      <c r="B3" s="158" t="s">
        <v>32</v>
      </c>
      <c r="C3" s="158" t="s">
        <v>1</v>
      </c>
      <c r="D3" s="76" t="s">
        <v>2</v>
      </c>
      <c r="E3" s="158" t="s">
        <v>3</v>
      </c>
      <c r="F3" s="158" t="s">
        <v>17</v>
      </c>
    </row>
    <row r="4" spans="1:10" x14ac:dyDescent="0.15">
      <c r="A4" s="114" t="s">
        <v>165</v>
      </c>
      <c r="B4" s="114" t="s">
        <v>274</v>
      </c>
      <c r="C4" s="114" t="s">
        <v>292</v>
      </c>
      <c r="D4" s="119" t="s">
        <v>13</v>
      </c>
      <c r="E4" s="116">
        <f t="shared" ref="E4:E25" si="0">IF(OR(B4="不要",B4=""),"",VLOOKUP(C4,教科書一覧,3,FALSE))</f>
        <v>1080</v>
      </c>
      <c r="F4" s="8"/>
      <c r="G4" s="82"/>
      <c r="I4" s="6"/>
    </row>
    <row r="5" spans="1:10" x14ac:dyDescent="0.15">
      <c r="A5" s="114" t="s">
        <v>271</v>
      </c>
      <c r="B5" s="114" t="s">
        <v>274</v>
      </c>
      <c r="C5" s="114" t="s">
        <v>158</v>
      </c>
      <c r="D5" s="115" t="s">
        <v>175</v>
      </c>
      <c r="E5" s="122">
        <f t="shared" si="0"/>
        <v>540</v>
      </c>
      <c r="F5" s="8"/>
      <c r="G5" s="82"/>
      <c r="H5" s="10"/>
      <c r="I5" s="6"/>
      <c r="J5" s="6"/>
    </row>
    <row r="6" spans="1:10" x14ac:dyDescent="0.15">
      <c r="A6" s="114" t="s">
        <v>166</v>
      </c>
      <c r="B6" s="114" t="s">
        <v>274</v>
      </c>
      <c r="C6" s="114" t="s">
        <v>283</v>
      </c>
      <c r="D6" s="115" t="s">
        <v>176</v>
      </c>
      <c r="E6" s="122">
        <f t="shared" si="0"/>
        <v>972</v>
      </c>
      <c r="F6" s="8"/>
      <c r="G6" s="82"/>
      <c r="H6" s="10"/>
      <c r="I6" s="24"/>
      <c r="J6" s="24"/>
    </row>
    <row r="7" spans="1:10" x14ac:dyDescent="0.15">
      <c r="A7" s="114" t="s">
        <v>167</v>
      </c>
      <c r="B7" s="114" t="s">
        <v>274</v>
      </c>
      <c r="C7" s="114" t="s">
        <v>159</v>
      </c>
      <c r="D7" s="115" t="s">
        <v>177</v>
      </c>
      <c r="E7" s="122">
        <f t="shared" si="0"/>
        <v>0</v>
      </c>
      <c r="F7" s="8"/>
      <c r="G7" s="82"/>
      <c r="H7" s="10"/>
      <c r="I7" s="24"/>
      <c r="J7" s="24"/>
    </row>
    <row r="8" spans="1:10" x14ac:dyDescent="0.15">
      <c r="A8" s="114" t="s">
        <v>168</v>
      </c>
      <c r="B8" s="114" t="s">
        <v>274</v>
      </c>
      <c r="C8" s="114" t="s">
        <v>15</v>
      </c>
      <c r="D8" s="120" t="s">
        <v>178</v>
      </c>
      <c r="E8" s="122">
        <f t="shared" si="0"/>
        <v>1080</v>
      </c>
      <c r="F8" s="8"/>
      <c r="G8" s="82"/>
      <c r="H8" s="10"/>
      <c r="I8" s="24"/>
      <c r="J8" s="75"/>
    </row>
    <row r="9" spans="1:10" x14ac:dyDescent="0.15">
      <c r="A9" s="114" t="s">
        <v>169</v>
      </c>
      <c r="B9" s="114" t="s">
        <v>274</v>
      </c>
      <c r="C9" s="114" t="s">
        <v>160</v>
      </c>
      <c r="D9" s="115" t="s">
        <v>178</v>
      </c>
      <c r="E9" s="122">
        <f t="shared" si="0"/>
        <v>1296</v>
      </c>
      <c r="F9" s="8"/>
      <c r="G9" s="82"/>
      <c r="H9" s="10"/>
      <c r="I9" s="24"/>
      <c r="J9" s="75"/>
    </row>
    <row r="10" spans="1:10" x14ac:dyDescent="0.15">
      <c r="A10" s="114" t="s">
        <v>170</v>
      </c>
      <c r="B10" s="114" t="s">
        <v>274</v>
      </c>
      <c r="C10" s="114" t="s">
        <v>161</v>
      </c>
      <c r="D10" s="115" t="s">
        <v>179</v>
      </c>
      <c r="E10" s="122">
        <f t="shared" si="0"/>
        <v>0</v>
      </c>
      <c r="F10" s="8"/>
      <c r="G10" s="23"/>
      <c r="H10" s="10"/>
      <c r="I10" s="24"/>
      <c r="J10" s="24"/>
    </row>
    <row r="11" spans="1:10" x14ac:dyDescent="0.15">
      <c r="A11" s="114" t="s">
        <v>171</v>
      </c>
      <c r="B11" s="114" t="s">
        <v>274</v>
      </c>
      <c r="C11" s="115" t="s">
        <v>162</v>
      </c>
      <c r="D11" s="115" t="s">
        <v>16</v>
      </c>
      <c r="E11" s="122">
        <f t="shared" si="0"/>
        <v>2160</v>
      </c>
      <c r="F11" s="8"/>
      <c r="G11" s="82"/>
      <c r="H11" s="10"/>
    </row>
    <row r="12" spans="1:10" x14ac:dyDescent="0.15">
      <c r="A12" s="114" t="s">
        <v>172</v>
      </c>
      <c r="B12" s="114" t="s">
        <v>274</v>
      </c>
      <c r="C12" s="114" t="s">
        <v>163</v>
      </c>
      <c r="D12" s="115"/>
      <c r="E12" s="122">
        <f t="shared" si="0"/>
        <v>2570</v>
      </c>
      <c r="F12" s="8"/>
      <c r="G12" s="82"/>
      <c r="H12" s="10"/>
    </row>
    <row r="13" spans="1:10" x14ac:dyDescent="0.15">
      <c r="A13" s="114" t="s">
        <v>173</v>
      </c>
      <c r="B13" s="114" t="s">
        <v>6</v>
      </c>
      <c r="C13" s="114" t="s">
        <v>164</v>
      </c>
      <c r="D13" s="115"/>
      <c r="E13" s="122"/>
      <c r="F13" s="8"/>
      <c r="G13" s="82"/>
      <c r="H13" s="10"/>
    </row>
    <row r="14" spans="1:10" x14ac:dyDescent="0.15">
      <c r="A14" s="114" t="s">
        <v>174</v>
      </c>
      <c r="B14" s="114" t="s">
        <v>6</v>
      </c>
      <c r="C14" s="114" t="s">
        <v>190</v>
      </c>
      <c r="D14" s="115"/>
      <c r="E14" s="122" t="str">
        <f t="shared" si="0"/>
        <v/>
      </c>
      <c r="F14" s="8"/>
      <c r="G14" s="82"/>
      <c r="H14" s="10"/>
    </row>
    <row r="15" spans="1:10" x14ac:dyDescent="0.15">
      <c r="A15" s="114"/>
      <c r="B15" s="114"/>
      <c r="C15" s="114"/>
      <c r="D15" s="115"/>
      <c r="E15" s="122"/>
      <c r="F15" s="8"/>
      <c r="G15" s="82"/>
      <c r="H15" s="10"/>
    </row>
    <row r="16" spans="1:10" x14ac:dyDescent="0.15">
      <c r="A16" s="114"/>
      <c r="B16" s="114"/>
      <c r="C16" s="114"/>
      <c r="D16" s="115"/>
      <c r="E16" s="122" t="str">
        <f t="shared" si="0"/>
        <v/>
      </c>
      <c r="F16" s="8"/>
      <c r="G16" s="82"/>
      <c r="H16" s="10"/>
    </row>
    <row r="17" spans="1:10" x14ac:dyDescent="0.15">
      <c r="A17" s="114"/>
      <c r="B17" s="114"/>
      <c r="C17" s="114"/>
      <c r="D17" s="115"/>
      <c r="E17" s="122" t="str">
        <f t="shared" si="0"/>
        <v/>
      </c>
      <c r="F17" s="8"/>
      <c r="G17" s="82"/>
    </row>
    <row r="18" spans="1:10" x14ac:dyDescent="0.15">
      <c r="A18" s="114"/>
      <c r="B18" s="114"/>
      <c r="C18" s="114"/>
      <c r="D18" s="115"/>
      <c r="E18" s="122" t="str">
        <f t="shared" si="0"/>
        <v/>
      </c>
      <c r="F18" s="8"/>
      <c r="G18" s="82"/>
    </row>
    <row r="19" spans="1:10" x14ac:dyDescent="0.15">
      <c r="A19" s="114"/>
      <c r="B19" s="114"/>
      <c r="C19" s="114"/>
      <c r="D19" s="115"/>
      <c r="E19" s="122" t="str">
        <f t="shared" si="0"/>
        <v/>
      </c>
      <c r="F19" s="8"/>
      <c r="G19" s="82"/>
    </row>
    <row r="20" spans="1:10" x14ac:dyDescent="0.15">
      <c r="A20" s="114"/>
      <c r="B20" s="114"/>
      <c r="C20" s="114"/>
      <c r="D20" s="115"/>
      <c r="E20" s="122" t="str">
        <f t="shared" si="0"/>
        <v/>
      </c>
      <c r="F20" s="8"/>
      <c r="G20" s="82"/>
    </row>
    <row r="21" spans="1:10" x14ac:dyDescent="0.15">
      <c r="A21" s="114"/>
      <c r="B21" s="114"/>
      <c r="C21" s="114"/>
      <c r="D21" s="123"/>
      <c r="E21" s="122" t="str">
        <f t="shared" si="0"/>
        <v/>
      </c>
      <c r="F21" s="8"/>
      <c r="G21" s="82"/>
    </row>
    <row r="22" spans="1:10" x14ac:dyDescent="0.15">
      <c r="A22" s="114"/>
      <c r="B22" s="114"/>
      <c r="C22" s="114"/>
      <c r="D22" s="115"/>
      <c r="E22" s="122" t="str">
        <f t="shared" si="0"/>
        <v/>
      </c>
      <c r="F22" s="8"/>
      <c r="G22" s="82"/>
    </row>
    <row r="23" spans="1:10" x14ac:dyDescent="0.15">
      <c r="A23" s="114"/>
      <c r="B23" s="114"/>
      <c r="C23" s="114"/>
      <c r="D23" s="119"/>
      <c r="E23" s="116" t="str">
        <f t="shared" si="0"/>
        <v/>
      </c>
      <c r="F23" s="8"/>
      <c r="G23" s="82"/>
      <c r="I23" s="6"/>
      <c r="J23" s="6"/>
    </row>
    <row r="24" spans="1:10" x14ac:dyDescent="0.15">
      <c r="A24" s="114"/>
      <c r="B24" s="114"/>
      <c r="C24" s="114"/>
      <c r="D24" s="115"/>
      <c r="E24" s="122" t="str">
        <f t="shared" si="0"/>
        <v/>
      </c>
      <c r="F24" s="8"/>
      <c r="G24" s="23"/>
      <c r="H24" s="10"/>
    </row>
    <row r="25" spans="1:10" x14ac:dyDescent="0.15">
      <c r="A25" s="114"/>
      <c r="B25" s="114"/>
      <c r="C25" s="114"/>
      <c r="D25" s="115"/>
      <c r="E25" s="122" t="str">
        <f t="shared" si="0"/>
        <v/>
      </c>
      <c r="F25" s="8"/>
      <c r="G25" s="82"/>
    </row>
    <row r="26" spans="1:10" x14ac:dyDescent="0.15">
      <c r="B26" s="174">
        <f>COUNTIF(B4:B25,"購入")</f>
        <v>9</v>
      </c>
      <c r="D26" s="60" t="s">
        <v>5</v>
      </c>
      <c r="E26" s="21">
        <f>SUM(E5:E25)</f>
        <v>8618</v>
      </c>
    </row>
    <row r="27" spans="1:10" x14ac:dyDescent="0.15">
      <c r="A27" s="82"/>
      <c r="B27" s="10"/>
    </row>
    <row r="28" spans="1:10" x14ac:dyDescent="0.15">
      <c r="C28" s="10"/>
    </row>
    <row r="29" spans="1:10" x14ac:dyDescent="0.15">
      <c r="A29" s="15" t="s">
        <v>116</v>
      </c>
      <c r="B29" s="135">
        <f>COUNTIF(B4:B25,"不要")</f>
        <v>2</v>
      </c>
      <c r="C29" s="15" t="s">
        <v>113</v>
      </c>
      <c r="E29" s="15">
        <f>500*B29</f>
        <v>1000</v>
      </c>
      <c r="F29" s="15" t="s">
        <v>114</v>
      </c>
    </row>
    <row r="30" spans="1:10" x14ac:dyDescent="0.15">
      <c r="A30" s="15" t="s">
        <v>104</v>
      </c>
    </row>
    <row r="31" spans="1:10" x14ac:dyDescent="0.15">
      <c r="A31" s="182" t="s">
        <v>108</v>
      </c>
      <c r="B31" s="182"/>
      <c r="C31" s="182"/>
      <c r="D31" s="182"/>
      <c r="E31" s="125"/>
      <c r="F31" s="15" t="s">
        <v>5</v>
      </c>
    </row>
    <row r="32" spans="1:10" x14ac:dyDescent="0.15">
      <c r="A32" s="182"/>
      <c r="B32" s="182"/>
      <c r="C32" s="182"/>
      <c r="D32" s="182"/>
      <c r="E32" s="125"/>
      <c r="F32" s="11">
        <f>E26+E29+E39</f>
        <v>14618</v>
      </c>
    </row>
    <row r="33" spans="1:5" x14ac:dyDescent="0.15">
      <c r="A33" s="148" t="s">
        <v>349</v>
      </c>
      <c r="B33" s="149"/>
      <c r="C33" s="149"/>
      <c r="D33" s="150"/>
      <c r="E33" s="125"/>
    </row>
    <row r="34" spans="1:5" x14ac:dyDescent="0.15">
      <c r="A34" s="183" t="s">
        <v>85</v>
      </c>
      <c r="B34" s="184"/>
      <c r="C34" s="184"/>
      <c r="D34" s="185"/>
      <c r="E34" s="125" t="s">
        <v>359</v>
      </c>
    </row>
    <row r="35" spans="1:5" x14ac:dyDescent="0.15">
      <c r="A35" s="183" t="s">
        <v>347</v>
      </c>
      <c r="B35" s="184"/>
      <c r="C35" s="184"/>
      <c r="D35" s="185"/>
      <c r="E35" s="125"/>
    </row>
    <row r="36" spans="1:5" x14ac:dyDescent="0.15">
      <c r="A36" s="183" t="s">
        <v>345</v>
      </c>
      <c r="B36" s="184"/>
      <c r="C36" s="184"/>
      <c r="D36" s="185"/>
      <c r="E36" s="125"/>
    </row>
    <row r="37" spans="1:5" x14ac:dyDescent="0.15">
      <c r="A37" s="183" t="s">
        <v>343</v>
      </c>
      <c r="B37" s="184"/>
      <c r="C37" s="184"/>
      <c r="D37" s="185"/>
      <c r="E37" s="125">
        <f>CKGTシャツ代</f>
        <v>2500</v>
      </c>
    </row>
    <row r="38" spans="1:5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5" x14ac:dyDescent="0.15">
      <c r="E39" s="65">
        <f>SUM(E31:E38)</f>
        <v>5000</v>
      </c>
    </row>
  </sheetData>
  <mergeCells count="8">
    <mergeCell ref="A37:D37"/>
    <mergeCell ref="A38:D38"/>
    <mergeCell ref="A1:F1"/>
    <mergeCell ref="A31:D31"/>
    <mergeCell ref="A32:D32"/>
    <mergeCell ref="A34:D34"/>
    <mergeCell ref="A35:D35"/>
    <mergeCell ref="A36:D36"/>
  </mergeCells>
  <phoneticPr fontId="1"/>
  <dataValidations count="2">
    <dataValidation type="list" allowBlank="1" showInputMessage="1" showErrorMessage="1" sqref="B4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" right="0.7" top="0.75" bottom="0.75" header="0.3" footer="0.3"/>
  <pageSetup paperSize="9"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9"/>
  <sheetViews>
    <sheetView view="pageBreakPreview" topLeftCell="A3" zoomScale="70" zoomScaleNormal="85" zoomScaleSheetLayoutView="70" workbookViewId="0">
      <selection activeCell="B3" sqref="B3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4" width="11.625" style="60" customWidth="1"/>
    <col min="5" max="5" width="11.625" customWidth="1"/>
    <col min="6" max="6" width="17.625" customWidth="1"/>
    <col min="8" max="10" width="9" style="15"/>
  </cols>
  <sheetData>
    <row r="1" spans="1:10" x14ac:dyDescent="0.15">
      <c r="A1" s="181" t="s">
        <v>127</v>
      </c>
      <c r="B1" s="181"/>
      <c r="C1" s="181"/>
      <c r="D1" s="181"/>
      <c r="E1" s="181"/>
      <c r="F1" s="181"/>
    </row>
    <row r="2" spans="1:10" x14ac:dyDescent="0.15">
      <c r="A2" s="106" t="s">
        <v>319</v>
      </c>
      <c r="B2" s="27"/>
    </row>
    <row r="3" spans="1:10" x14ac:dyDescent="0.15">
      <c r="A3" s="2" t="s">
        <v>0</v>
      </c>
      <c r="B3" s="28" t="s">
        <v>32</v>
      </c>
      <c r="C3" s="2" t="s">
        <v>1</v>
      </c>
      <c r="D3" s="76" t="s">
        <v>2</v>
      </c>
      <c r="E3" s="2" t="s">
        <v>3</v>
      </c>
      <c r="F3" s="2" t="s">
        <v>17</v>
      </c>
      <c r="H3" s="24"/>
      <c r="I3" s="24"/>
      <c r="J3" s="24"/>
    </row>
    <row r="4" spans="1:10" s="5" customFormat="1" x14ac:dyDescent="0.15">
      <c r="A4" s="114" t="s">
        <v>180</v>
      </c>
      <c r="B4" s="114" t="s">
        <v>334</v>
      </c>
      <c r="C4" s="114" t="s">
        <v>188</v>
      </c>
      <c r="D4" s="115" t="str">
        <f t="shared" ref="D4:D25" si="0">IF(OR(B4="不要",B4=""),"",VLOOKUP(C4,教科書一覧,2,FALSE))</f>
        <v>技術評論社</v>
      </c>
      <c r="E4" s="116">
        <f t="shared" ref="E4:E25" si="1">IF(OR(B4="不要",B4=""),"",VLOOKUP(C4,教科書一覧,3,FALSE))</f>
        <v>1382</v>
      </c>
      <c r="F4" s="8"/>
      <c r="H4" s="10"/>
      <c r="I4" s="75"/>
      <c r="J4" s="75"/>
    </row>
    <row r="5" spans="1:10" s="15" customFormat="1" x14ac:dyDescent="0.15">
      <c r="A5" s="114" t="s">
        <v>181</v>
      </c>
      <c r="B5" s="114" t="s">
        <v>334</v>
      </c>
      <c r="C5" s="114" t="s">
        <v>305</v>
      </c>
      <c r="D5" s="117" t="str">
        <f t="shared" si="0"/>
        <v>翔泳社</v>
      </c>
      <c r="E5" s="116">
        <f t="shared" si="1"/>
        <v>2480</v>
      </c>
      <c r="F5" s="8"/>
      <c r="H5" s="10"/>
      <c r="I5" s="24"/>
      <c r="J5" s="24"/>
    </row>
    <row r="6" spans="1:10" s="15" customFormat="1" x14ac:dyDescent="0.15">
      <c r="A6" s="114" t="s">
        <v>182</v>
      </c>
      <c r="B6" s="114" t="s">
        <v>334</v>
      </c>
      <c r="C6" s="114" t="s">
        <v>14</v>
      </c>
      <c r="D6" s="117" t="str">
        <f t="shared" si="0"/>
        <v>実教出版</v>
      </c>
      <c r="E6" s="116">
        <f t="shared" si="1"/>
        <v>864</v>
      </c>
      <c r="F6" s="8"/>
      <c r="H6" s="10"/>
      <c r="I6" s="24"/>
      <c r="J6" s="24"/>
    </row>
    <row r="7" spans="1:10" s="15" customFormat="1" x14ac:dyDescent="0.15">
      <c r="A7" s="114" t="s">
        <v>183</v>
      </c>
      <c r="B7" s="114" t="s">
        <v>334</v>
      </c>
      <c r="C7" s="114" t="s">
        <v>189</v>
      </c>
      <c r="D7" s="118" t="str">
        <f t="shared" si="0"/>
        <v>洋泉社</v>
      </c>
      <c r="E7" s="116">
        <f t="shared" si="1"/>
        <v>1512</v>
      </c>
      <c r="F7" s="8"/>
      <c r="H7" s="10"/>
      <c r="I7" s="24"/>
      <c r="J7" s="75"/>
    </row>
    <row r="8" spans="1:10" s="15" customFormat="1" x14ac:dyDescent="0.15">
      <c r="A8" s="114" t="s">
        <v>184</v>
      </c>
      <c r="B8" s="114" t="s">
        <v>6</v>
      </c>
      <c r="C8" s="114" t="s">
        <v>190</v>
      </c>
      <c r="D8" s="117" t="str">
        <f t="shared" si="0"/>
        <v/>
      </c>
      <c r="E8" s="116" t="str">
        <f t="shared" si="1"/>
        <v/>
      </c>
      <c r="F8" s="8"/>
      <c r="G8" s="23"/>
      <c r="H8" s="10"/>
      <c r="I8" s="24"/>
      <c r="J8" s="75"/>
    </row>
    <row r="9" spans="1:10" s="15" customFormat="1" x14ac:dyDescent="0.15">
      <c r="A9" s="114" t="s">
        <v>185</v>
      </c>
      <c r="B9" s="114" t="s">
        <v>32</v>
      </c>
      <c r="C9" s="114" t="s">
        <v>191</v>
      </c>
      <c r="D9" s="117" t="str">
        <f t="shared" si="0"/>
        <v>翔泳社</v>
      </c>
      <c r="E9" s="116">
        <f t="shared" si="1"/>
        <v>1922</v>
      </c>
      <c r="F9" s="8"/>
      <c r="G9" s="23"/>
      <c r="H9" s="10"/>
      <c r="I9" s="24"/>
      <c r="J9" s="24"/>
    </row>
    <row r="10" spans="1:10" s="15" customFormat="1" x14ac:dyDescent="0.15">
      <c r="A10" s="114" t="s">
        <v>172</v>
      </c>
      <c r="B10" s="114" t="s">
        <v>32</v>
      </c>
      <c r="C10" s="114" t="s">
        <v>163</v>
      </c>
      <c r="D10" s="115" t="str">
        <f t="shared" si="0"/>
        <v>SBクリエイティブ</v>
      </c>
      <c r="E10" s="116">
        <f t="shared" si="1"/>
        <v>2570</v>
      </c>
      <c r="F10" s="8"/>
      <c r="G10" s="10"/>
      <c r="H10" s="10"/>
      <c r="I10" s="24"/>
      <c r="J10" s="24"/>
    </row>
    <row r="11" spans="1:10" s="5" customFormat="1" x14ac:dyDescent="0.15">
      <c r="A11" s="114" t="s">
        <v>186</v>
      </c>
      <c r="B11" s="114" t="s">
        <v>6</v>
      </c>
      <c r="C11" s="114"/>
      <c r="D11" s="115" t="str">
        <f t="shared" si="0"/>
        <v/>
      </c>
      <c r="E11" s="116" t="str">
        <f t="shared" si="1"/>
        <v/>
      </c>
      <c r="F11" s="8"/>
      <c r="H11" s="10"/>
      <c r="I11" s="24"/>
      <c r="J11" s="24"/>
    </row>
    <row r="12" spans="1:10" s="15" customFormat="1" x14ac:dyDescent="0.15">
      <c r="A12" s="114" t="s">
        <v>187</v>
      </c>
      <c r="B12" s="114" t="s">
        <v>6</v>
      </c>
      <c r="C12" s="114" t="s">
        <v>192</v>
      </c>
      <c r="D12" s="115" t="str">
        <f t="shared" si="0"/>
        <v/>
      </c>
      <c r="E12" s="116" t="str">
        <f t="shared" si="1"/>
        <v/>
      </c>
      <c r="F12" s="8"/>
      <c r="H12" s="10"/>
    </row>
    <row r="13" spans="1:10" s="15" customFormat="1" x14ac:dyDescent="0.15">
      <c r="A13" s="114"/>
      <c r="B13" s="114"/>
      <c r="C13" s="114"/>
      <c r="D13" s="115" t="str">
        <f t="shared" si="0"/>
        <v/>
      </c>
      <c r="E13" s="116" t="str">
        <f t="shared" si="1"/>
        <v/>
      </c>
      <c r="F13" s="8"/>
      <c r="H13" s="10"/>
    </row>
    <row r="14" spans="1:10" s="15" customFormat="1" x14ac:dyDescent="0.15">
      <c r="A14" s="114"/>
      <c r="B14" s="114"/>
      <c r="C14" s="114"/>
      <c r="D14" s="115" t="str">
        <f t="shared" si="0"/>
        <v/>
      </c>
      <c r="E14" s="116" t="str">
        <f t="shared" si="1"/>
        <v/>
      </c>
      <c r="F14" s="8"/>
      <c r="H14" s="10"/>
    </row>
    <row r="15" spans="1:10" s="15" customFormat="1" x14ac:dyDescent="0.15">
      <c r="A15" s="114"/>
      <c r="B15" s="114"/>
      <c r="C15" s="114"/>
      <c r="D15" s="115" t="str">
        <f t="shared" si="0"/>
        <v/>
      </c>
      <c r="E15" s="116" t="str">
        <f t="shared" si="1"/>
        <v/>
      </c>
      <c r="F15" s="8"/>
      <c r="H15" s="10"/>
    </row>
    <row r="16" spans="1:10" s="15" customFormat="1" x14ac:dyDescent="0.15">
      <c r="A16" s="114"/>
      <c r="B16" s="114"/>
      <c r="C16" s="114"/>
      <c r="D16" s="115" t="str">
        <f t="shared" si="0"/>
        <v/>
      </c>
      <c r="E16" s="116" t="str">
        <f t="shared" si="1"/>
        <v/>
      </c>
      <c r="F16" s="8"/>
    </row>
    <row r="17" spans="1:10" s="15" customFormat="1" x14ac:dyDescent="0.15">
      <c r="A17" s="114"/>
      <c r="B17" s="114"/>
      <c r="C17" s="114"/>
      <c r="D17" s="115" t="str">
        <f t="shared" si="0"/>
        <v/>
      </c>
      <c r="E17" s="116" t="str">
        <f t="shared" si="1"/>
        <v/>
      </c>
      <c r="F17" s="8"/>
    </row>
    <row r="18" spans="1:10" s="15" customFormat="1" x14ac:dyDescent="0.15">
      <c r="A18" s="114"/>
      <c r="B18" s="114"/>
      <c r="C18" s="114"/>
      <c r="D18" s="115" t="str">
        <f t="shared" si="0"/>
        <v/>
      </c>
      <c r="E18" s="116" t="str">
        <f t="shared" si="1"/>
        <v/>
      </c>
      <c r="F18" s="8"/>
    </row>
    <row r="19" spans="1:10" s="5" customFormat="1" x14ac:dyDescent="0.15">
      <c r="A19" s="114"/>
      <c r="B19" s="114"/>
      <c r="C19" s="114"/>
      <c r="D19" s="115" t="str">
        <f t="shared" si="0"/>
        <v/>
      </c>
      <c r="E19" s="116" t="str">
        <f t="shared" si="1"/>
        <v/>
      </c>
      <c r="F19" s="8"/>
      <c r="H19" s="15"/>
      <c r="I19" s="15"/>
      <c r="J19" s="15"/>
    </row>
    <row r="20" spans="1:10" s="15" customFormat="1" x14ac:dyDescent="0.15">
      <c r="A20" s="114"/>
      <c r="B20" s="114"/>
      <c r="C20" s="114"/>
      <c r="D20" s="115" t="str">
        <f t="shared" si="0"/>
        <v/>
      </c>
      <c r="E20" s="116" t="str">
        <f t="shared" si="1"/>
        <v/>
      </c>
      <c r="F20" s="8"/>
    </row>
    <row r="21" spans="1:10" s="5" customFormat="1" x14ac:dyDescent="0.15">
      <c r="A21" s="114"/>
      <c r="B21" s="114"/>
      <c r="C21" s="114"/>
      <c r="D21" s="115" t="str">
        <f t="shared" si="0"/>
        <v/>
      </c>
      <c r="E21" s="116" t="str">
        <f t="shared" si="1"/>
        <v/>
      </c>
      <c r="F21" s="8"/>
      <c r="H21" s="15"/>
      <c r="I21" s="15"/>
      <c r="J21" s="15"/>
    </row>
    <row r="22" spans="1:10" s="15" customFormat="1" x14ac:dyDescent="0.15">
      <c r="A22" s="114"/>
      <c r="B22" s="114"/>
      <c r="C22" s="114"/>
      <c r="D22" s="115" t="str">
        <f t="shared" si="0"/>
        <v/>
      </c>
      <c r="E22" s="116" t="str">
        <f t="shared" si="1"/>
        <v/>
      </c>
      <c r="F22" s="8"/>
      <c r="I22" s="6"/>
    </row>
    <row r="23" spans="1:10" s="15" customFormat="1" x14ac:dyDescent="0.15">
      <c r="A23" s="114"/>
      <c r="B23" s="114"/>
      <c r="C23" s="114"/>
      <c r="D23" s="115" t="str">
        <f t="shared" si="0"/>
        <v/>
      </c>
      <c r="E23" s="116" t="str">
        <f t="shared" si="1"/>
        <v/>
      </c>
      <c r="F23" s="8"/>
      <c r="I23" s="6"/>
      <c r="J23" s="6"/>
    </row>
    <row r="24" spans="1:10" s="15" customFormat="1" x14ac:dyDescent="0.15">
      <c r="A24" s="114"/>
      <c r="B24" s="114"/>
      <c r="C24" s="114"/>
      <c r="D24" s="117" t="str">
        <f t="shared" si="0"/>
        <v/>
      </c>
      <c r="E24" s="116" t="str">
        <f t="shared" si="1"/>
        <v/>
      </c>
      <c r="F24" s="8"/>
      <c r="G24" s="23"/>
      <c r="H24" s="10"/>
    </row>
    <row r="25" spans="1:10" s="5" customFormat="1" x14ac:dyDescent="0.15">
      <c r="A25" s="114"/>
      <c r="B25" s="114"/>
      <c r="C25" s="114"/>
      <c r="D25" s="115" t="str">
        <f t="shared" si="0"/>
        <v/>
      </c>
      <c r="E25" s="116" t="str">
        <f t="shared" si="1"/>
        <v/>
      </c>
      <c r="F25" s="8"/>
      <c r="H25" s="15"/>
      <c r="I25" s="15"/>
      <c r="J25" s="15"/>
    </row>
    <row r="26" spans="1:10" x14ac:dyDescent="0.15">
      <c r="B26" s="174">
        <f>COUNTIF(B4:B25,"購入")</f>
        <v>6</v>
      </c>
      <c r="D26" s="60" t="s">
        <v>5</v>
      </c>
      <c r="E26" s="6">
        <f>SUM(E4:E25)</f>
        <v>10730</v>
      </c>
    </row>
    <row r="27" spans="1:10" x14ac:dyDescent="0.15">
      <c r="A27" s="82"/>
      <c r="B27" s="10"/>
    </row>
    <row r="29" spans="1:10" x14ac:dyDescent="0.15">
      <c r="A29" t="s">
        <v>115</v>
      </c>
      <c r="B29" s="135">
        <f>COUNTIF(B4:B25,"不要")</f>
        <v>3</v>
      </c>
      <c r="C29" t="s">
        <v>113</v>
      </c>
      <c r="E29">
        <f>500*B29</f>
        <v>1500</v>
      </c>
      <c r="F29" t="s">
        <v>114</v>
      </c>
    </row>
    <row r="30" spans="1:10" x14ac:dyDescent="0.15">
      <c r="A30" t="s">
        <v>104</v>
      </c>
    </row>
    <row r="31" spans="1:10" x14ac:dyDescent="0.15">
      <c r="A31" s="182" t="s">
        <v>108</v>
      </c>
      <c r="B31" s="182"/>
      <c r="C31" s="182"/>
      <c r="D31" s="182"/>
      <c r="E31" s="125"/>
    </row>
    <row r="32" spans="1:10" x14ac:dyDescent="0.15">
      <c r="A32" s="182"/>
      <c r="B32" s="182"/>
      <c r="C32" s="182"/>
      <c r="D32" s="182"/>
      <c r="E32" s="125"/>
    </row>
    <row r="33" spans="1:6" s="15" customFormat="1" x14ac:dyDescent="0.15">
      <c r="A33" s="148" t="s">
        <v>349</v>
      </c>
      <c r="B33" s="149"/>
      <c r="C33" s="149"/>
      <c r="D33" s="150"/>
      <c r="E33" s="125"/>
      <c r="F33" s="15" t="s">
        <v>365</v>
      </c>
    </row>
    <row r="34" spans="1:6" s="15" customFormat="1" x14ac:dyDescent="0.15">
      <c r="A34" s="183" t="s">
        <v>348</v>
      </c>
      <c r="B34" s="184"/>
      <c r="C34" s="184"/>
      <c r="D34" s="185"/>
      <c r="E34" s="125"/>
    </row>
    <row r="35" spans="1:6" s="15" customFormat="1" x14ac:dyDescent="0.15">
      <c r="A35" s="183" t="s">
        <v>347</v>
      </c>
      <c r="B35" s="184"/>
      <c r="C35" s="184"/>
      <c r="D35" s="185"/>
      <c r="E35" s="125"/>
      <c r="F35" s="6">
        <f>E26+E39</f>
        <v>15730</v>
      </c>
    </row>
    <row r="36" spans="1:6" s="15" customFormat="1" x14ac:dyDescent="0.15">
      <c r="A36" s="183" t="s">
        <v>345</v>
      </c>
      <c r="B36" s="184"/>
      <c r="C36" s="184"/>
      <c r="D36" s="185"/>
      <c r="E36" s="125"/>
    </row>
    <row r="37" spans="1:6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6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6" x14ac:dyDescent="0.15">
      <c r="E39" s="65">
        <f>SUM(E31:E38)</f>
        <v>5000</v>
      </c>
    </row>
  </sheetData>
  <customSheetViews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1"/>
    </customSheetView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5 C11">
      <formula1>教科書リスト</formula1>
    </dataValidation>
  </dataValidations>
  <pageMargins left="0.7" right="0.7" top="0.75" bottom="0.75" header="0.3" footer="0.3"/>
  <pageSetup paperSize="9" scale="80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9"/>
  <sheetViews>
    <sheetView view="pageBreakPreview" zoomScale="85" zoomScaleNormal="85" zoomScaleSheetLayoutView="85" workbookViewId="0">
      <selection activeCell="B29" sqref="B29"/>
    </sheetView>
  </sheetViews>
  <sheetFormatPr defaultRowHeight="13.5" x14ac:dyDescent="0.1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17.625" customWidth="1"/>
  </cols>
  <sheetData>
    <row r="1" spans="1:6" x14ac:dyDescent="0.15">
      <c r="A1" s="181" t="s">
        <v>128</v>
      </c>
      <c r="B1" s="181"/>
      <c r="C1" s="181"/>
      <c r="D1" s="181"/>
      <c r="E1" s="181"/>
      <c r="F1" s="181"/>
    </row>
    <row r="2" spans="1:6" x14ac:dyDescent="0.15">
      <c r="A2" s="106" t="s">
        <v>319</v>
      </c>
      <c r="B2" s="27"/>
    </row>
    <row r="3" spans="1:6" x14ac:dyDescent="0.15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 x14ac:dyDescent="0.15">
      <c r="A4" s="126" t="s">
        <v>194</v>
      </c>
      <c r="B4" s="128" t="s">
        <v>318</v>
      </c>
      <c r="C4" s="128" t="s">
        <v>201</v>
      </c>
      <c r="D4" s="128" t="s">
        <v>67</v>
      </c>
      <c r="E4" s="140">
        <v>1922</v>
      </c>
      <c r="F4" s="31"/>
    </row>
    <row r="5" spans="1:6" s="5" customFormat="1" x14ac:dyDescent="0.15">
      <c r="A5" s="107" t="s">
        <v>195</v>
      </c>
      <c r="B5" s="107" t="s">
        <v>318</v>
      </c>
      <c r="C5" s="112" t="s">
        <v>284</v>
      </c>
      <c r="D5" s="112" t="str">
        <f t="shared" ref="D5:D25" si="0">IF(OR(B5="不要",B5=""),"",VLOOKUP(C5,教科書一覧,2,FALSE))</f>
        <v>実教出版</v>
      </c>
      <c r="E5" s="113">
        <f t="shared" ref="E5:E25" si="1">IF(OR(B5="不要",B5=""),"",VLOOKUP(C5,教科書一覧,3,FALSE))</f>
        <v>972</v>
      </c>
      <c r="F5" s="14"/>
    </row>
    <row r="6" spans="1:6" s="15" customFormat="1" x14ac:dyDescent="0.15">
      <c r="A6" s="107" t="s">
        <v>196</v>
      </c>
      <c r="B6" s="107" t="s">
        <v>318</v>
      </c>
      <c r="C6" s="112" t="s">
        <v>202</v>
      </c>
      <c r="D6" s="112" t="str">
        <f t="shared" si="0"/>
        <v>技術評論社</v>
      </c>
      <c r="E6" s="113">
        <f t="shared" si="1"/>
        <v>2030</v>
      </c>
      <c r="F6" s="14"/>
    </row>
    <row r="7" spans="1:6" s="15" customFormat="1" x14ac:dyDescent="0.15">
      <c r="A7" s="107" t="s">
        <v>197</v>
      </c>
      <c r="B7" s="107" t="s">
        <v>6</v>
      </c>
      <c r="C7" s="107" t="s">
        <v>190</v>
      </c>
      <c r="D7" s="107" t="str">
        <f t="shared" si="0"/>
        <v/>
      </c>
      <c r="E7" s="110" t="str">
        <f t="shared" si="1"/>
        <v/>
      </c>
      <c r="F7" s="16"/>
    </row>
    <row r="8" spans="1:6" s="15" customFormat="1" x14ac:dyDescent="0.15">
      <c r="A8" s="107" t="s">
        <v>198</v>
      </c>
      <c r="B8" s="107" t="s">
        <v>318</v>
      </c>
      <c r="C8" s="107" t="s">
        <v>203</v>
      </c>
      <c r="D8" s="107" t="str">
        <f t="shared" si="0"/>
        <v>技術評論社</v>
      </c>
      <c r="E8" s="110">
        <f t="shared" si="1"/>
        <v>2030</v>
      </c>
      <c r="F8" s="16"/>
    </row>
    <row r="9" spans="1:6" s="5" customFormat="1" x14ac:dyDescent="0.15">
      <c r="A9" s="107" t="s">
        <v>199</v>
      </c>
      <c r="B9" s="107" t="s">
        <v>318</v>
      </c>
      <c r="C9" s="107" t="s">
        <v>204</v>
      </c>
      <c r="D9" s="107" t="str">
        <f t="shared" si="0"/>
        <v>技術評論社</v>
      </c>
      <c r="E9" s="110">
        <f t="shared" si="1"/>
        <v>2138</v>
      </c>
      <c r="F9" s="7"/>
    </row>
    <row r="10" spans="1:6" s="5" customFormat="1" x14ac:dyDescent="0.15">
      <c r="A10" s="107" t="s">
        <v>200</v>
      </c>
      <c r="B10" s="107" t="s">
        <v>6</v>
      </c>
      <c r="C10" s="107" t="s">
        <v>205</v>
      </c>
      <c r="D10" s="107" t="str">
        <f t="shared" si="0"/>
        <v/>
      </c>
      <c r="E10" s="110" t="str">
        <f t="shared" si="1"/>
        <v/>
      </c>
      <c r="F10" s="7"/>
    </row>
    <row r="11" spans="1:6" s="15" customFormat="1" x14ac:dyDescent="0.15">
      <c r="A11" s="107" t="s">
        <v>187</v>
      </c>
      <c r="B11" s="107" t="s">
        <v>6</v>
      </c>
      <c r="C11" s="107" t="s">
        <v>192</v>
      </c>
      <c r="D11" s="107" t="str">
        <f t="shared" si="0"/>
        <v/>
      </c>
      <c r="E11" s="110" t="str">
        <f t="shared" si="1"/>
        <v/>
      </c>
      <c r="F11" s="37"/>
    </row>
    <row r="12" spans="1:6" s="15" customFormat="1" x14ac:dyDescent="0.15">
      <c r="A12" s="107"/>
      <c r="B12" s="107"/>
      <c r="C12" s="107"/>
      <c r="D12" s="107" t="str">
        <f t="shared" si="0"/>
        <v/>
      </c>
      <c r="E12" s="110" t="str">
        <f t="shared" si="1"/>
        <v/>
      </c>
      <c r="F12" s="37"/>
    </row>
    <row r="13" spans="1:6" s="15" customFormat="1" x14ac:dyDescent="0.15">
      <c r="A13" s="107"/>
      <c r="B13" s="107"/>
      <c r="C13" s="107"/>
      <c r="D13" s="107" t="str">
        <f t="shared" si="0"/>
        <v/>
      </c>
      <c r="E13" s="110" t="str">
        <f t="shared" si="1"/>
        <v/>
      </c>
      <c r="F13" s="37"/>
    </row>
    <row r="14" spans="1:6" s="15" customFormat="1" x14ac:dyDescent="0.15">
      <c r="A14" s="107"/>
      <c r="B14" s="107"/>
      <c r="C14" s="107"/>
      <c r="D14" s="107" t="str">
        <f t="shared" si="0"/>
        <v/>
      </c>
      <c r="E14" s="110" t="str">
        <f t="shared" si="1"/>
        <v/>
      </c>
      <c r="F14" s="37"/>
    </row>
    <row r="15" spans="1:6" s="15" customFormat="1" x14ac:dyDescent="0.15">
      <c r="A15" s="107"/>
      <c r="B15" s="107"/>
      <c r="C15" s="107"/>
      <c r="D15" s="107" t="str">
        <f t="shared" si="0"/>
        <v/>
      </c>
      <c r="E15" s="110" t="str">
        <f t="shared" si="1"/>
        <v/>
      </c>
      <c r="F15" s="37"/>
    </row>
    <row r="16" spans="1:6" s="15" customFormat="1" x14ac:dyDescent="0.15">
      <c r="A16" s="107"/>
      <c r="B16" s="107"/>
      <c r="C16" s="107"/>
      <c r="D16" s="107" t="str">
        <f t="shared" si="0"/>
        <v/>
      </c>
      <c r="E16" s="110" t="str">
        <f t="shared" si="1"/>
        <v/>
      </c>
      <c r="F16" s="37"/>
    </row>
    <row r="17" spans="1:6" s="15" customFormat="1" x14ac:dyDescent="0.15">
      <c r="A17" s="107"/>
      <c r="B17" s="107"/>
      <c r="C17" s="107"/>
      <c r="D17" s="107" t="str">
        <f t="shared" si="0"/>
        <v/>
      </c>
      <c r="E17" s="110" t="str">
        <f t="shared" si="1"/>
        <v/>
      </c>
      <c r="F17" s="37"/>
    </row>
    <row r="18" spans="1:6" s="15" customFormat="1" x14ac:dyDescent="0.15">
      <c r="A18" s="107"/>
      <c r="B18" s="107"/>
      <c r="C18" s="107"/>
      <c r="D18" s="107" t="str">
        <f t="shared" si="0"/>
        <v/>
      </c>
      <c r="E18" s="110" t="str">
        <f t="shared" si="1"/>
        <v/>
      </c>
      <c r="F18" s="37"/>
    </row>
    <row r="19" spans="1:6" s="15" customFormat="1" x14ac:dyDescent="0.15">
      <c r="A19" s="107"/>
      <c r="B19" s="107"/>
      <c r="C19" s="107"/>
      <c r="D19" s="107" t="str">
        <f t="shared" si="0"/>
        <v/>
      </c>
      <c r="E19" s="110" t="str">
        <f t="shared" si="1"/>
        <v/>
      </c>
      <c r="F19" s="37"/>
    </row>
    <row r="20" spans="1:6" s="15" customFormat="1" x14ac:dyDescent="0.15">
      <c r="A20" s="107"/>
      <c r="B20" s="107"/>
      <c r="C20" s="107"/>
      <c r="D20" s="107" t="str">
        <f t="shared" si="0"/>
        <v/>
      </c>
      <c r="E20" s="110" t="str">
        <f t="shared" si="1"/>
        <v/>
      </c>
      <c r="F20" s="37"/>
    </row>
    <row r="21" spans="1:6" s="5" customFormat="1" x14ac:dyDescent="0.15">
      <c r="A21" s="107"/>
      <c r="B21" s="107"/>
      <c r="C21" s="107"/>
      <c r="D21" s="107" t="str">
        <f t="shared" si="0"/>
        <v/>
      </c>
      <c r="E21" s="110" t="str">
        <f t="shared" si="1"/>
        <v/>
      </c>
      <c r="F21" s="7"/>
    </row>
    <row r="22" spans="1:6" s="5" customFormat="1" x14ac:dyDescent="0.15">
      <c r="A22" s="107"/>
      <c r="B22" s="107"/>
      <c r="C22" s="107"/>
      <c r="D22" s="107" t="str">
        <f t="shared" si="0"/>
        <v/>
      </c>
      <c r="E22" s="110" t="str">
        <f t="shared" si="1"/>
        <v/>
      </c>
      <c r="F22" s="7"/>
    </row>
    <row r="23" spans="1:6" s="5" customFormat="1" x14ac:dyDescent="0.15">
      <c r="A23" s="107"/>
      <c r="B23" s="107"/>
      <c r="C23" s="107"/>
      <c r="D23" s="107" t="str">
        <f t="shared" si="0"/>
        <v/>
      </c>
      <c r="E23" s="110" t="str">
        <f t="shared" si="1"/>
        <v/>
      </c>
      <c r="F23" s="7"/>
    </row>
    <row r="24" spans="1:6" s="15" customFormat="1" x14ac:dyDescent="0.15">
      <c r="A24" s="107"/>
      <c r="B24" s="107"/>
      <c r="C24" s="107"/>
      <c r="D24" s="107" t="str">
        <f t="shared" si="0"/>
        <v/>
      </c>
      <c r="E24" s="110" t="str">
        <f t="shared" si="1"/>
        <v/>
      </c>
      <c r="F24" s="16"/>
    </row>
    <row r="25" spans="1:6" s="5" customFormat="1" x14ac:dyDescent="0.15">
      <c r="A25" s="107"/>
      <c r="B25" s="107"/>
      <c r="C25" s="107"/>
      <c r="D25" s="107" t="str">
        <f t="shared" si="0"/>
        <v/>
      </c>
      <c r="E25" s="110" t="str">
        <f t="shared" si="1"/>
        <v/>
      </c>
      <c r="F25" s="7"/>
    </row>
    <row r="26" spans="1:6" x14ac:dyDescent="0.15">
      <c r="B26" s="174">
        <f>COUNTIF(B4:B25,"購入")</f>
        <v>5</v>
      </c>
      <c r="D26" t="s">
        <v>5</v>
      </c>
      <c r="E26" s="21">
        <f>SUM(E4:E25)</f>
        <v>9092</v>
      </c>
    </row>
    <row r="29" spans="1:6" x14ac:dyDescent="0.15">
      <c r="A29" t="s">
        <v>115</v>
      </c>
      <c r="B29" s="135">
        <f>COUNTIF(B4:B25,"不要")</f>
        <v>3</v>
      </c>
      <c r="C29" t="s">
        <v>113</v>
      </c>
      <c r="E29">
        <f>500*B29</f>
        <v>1500</v>
      </c>
      <c r="F29" t="s">
        <v>114</v>
      </c>
    </row>
    <row r="30" spans="1:6" x14ac:dyDescent="0.15">
      <c r="A30" t="s">
        <v>104</v>
      </c>
    </row>
    <row r="31" spans="1:6" x14ac:dyDescent="0.15">
      <c r="A31" s="182" t="s">
        <v>108</v>
      </c>
      <c r="B31" s="182"/>
      <c r="C31" s="182"/>
      <c r="D31" s="182"/>
      <c r="E31" s="125"/>
    </row>
    <row r="32" spans="1:6" x14ac:dyDescent="0.15">
      <c r="A32" s="182"/>
      <c r="B32" s="182"/>
      <c r="C32" s="182"/>
      <c r="D32" s="182"/>
      <c r="E32" s="125"/>
      <c r="F32" t="s">
        <v>364</v>
      </c>
    </row>
    <row r="33" spans="1:6" s="15" customFormat="1" x14ac:dyDescent="0.15">
      <c r="A33" s="148" t="s">
        <v>349</v>
      </c>
      <c r="B33" s="149"/>
      <c r="C33" s="149"/>
      <c r="D33" s="150"/>
      <c r="E33" s="125"/>
      <c r="F33" s="11">
        <f>E26+E39</f>
        <v>15892</v>
      </c>
    </row>
    <row r="34" spans="1:6" s="15" customFormat="1" x14ac:dyDescent="0.15">
      <c r="A34" s="183" t="s">
        <v>348</v>
      </c>
      <c r="B34" s="184"/>
      <c r="C34" s="184"/>
      <c r="D34" s="185"/>
      <c r="E34" s="125">
        <f>SOTUGYOUSHASINDAI</f>
        <v>1800</v>
      </c>
    </row>
    <row r="35" spans="1:6" s="15" customFormat="1" x14ac:dyDescent="0.15">
      <c r="A35" s="183" t="s">
        <v>347</v>
      </c>
      <c r="B35" s="184"/>
      <c r="C35" s="184"/>
      <c r="D35" s="185"/>
      <c r="E35" s="125"/>
    </row>
    <row r="36" spans="1:6" s="15" customFormat="1" x14ac:dyDescent="0.15">
      <c r="A36" s="183" t="s">
        <v>345</v>
      </c>
      <c r="B36" s="184"/>
      <c r="C36" s="184"/>
      <c r="D36" s="185"/>
      <c r="E36" s="125"/>
    </row>
    <row r="37" spans="1:6" s="15" customFormat="1" x14ac:dyDescent="0.15">
      <c r="A37" s="183" t="s">
        <v>344</v>
      </c>
      <c r="B37" s="184"/>
      <c r="C37" s="184"/>
      <c r="D37" s="185"/>
      <c r="E37" s="125">
        <f>CKGTシャツ代</f>
        <v>2500</v>
      </c>
    </row>
    <row r="38" spans="1:6" x14ac:dyDescent="0.15">
      <c r="A38" s="182" t="s">
        <v>342</v>
      </c>
      <c r="B38" s="182"/>
      <c r="C38" s="182"/>
      <c r="D38" s="182"/>
      <c r="E38" s="125">
        <f>KENKOSINDANJUSHINN</f>
        <v>2500</v>
      </c>
    </row>
    <row r="39" spans="1:6" x14ac:dyDescent="0.15">
      <c r="E39" s="65">
        <f>SUM(E31:E38)</f>
        <v>6800</v>
      </c>
    </row>
  </sheetData>
  <customSheetViews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1"/>
    </customSheetView>
    <customSheetView guid="{8C3311D4-BF6B-4714-8FEE-EF832EA44719}" showPageBreaks="1" printArea="1" view="pageBreakPreview">
      <selection activeCell="C4" sqref="C4"/>
      <pageMargins left="0.7" right="0.7" top="0.75" bottom="0.75" header="0.3" footer="0.3"/>
      <pageSetup paperSize="9" orientation="landscape" r:id="rId2"/>
    </customSheetView>
  </customSheetViews>
  <mergeCells count="8">
    <mergeCell ref="A31:D31"/>
    <mergeCell ref="A32:D32"/>
    <mergeCell ref="A38:D38"/>
    <mergeCell ref="A1:F1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9"/>
  <sheetViews>
    <sheetView view="pageBreakPreview" zoomScale="85" zoomScaleNormal="85" zoomScaleSheetLayoutView="85" workbookViewId="0">
      <selection activeCell="F40" sqref="F40"/>
    </sheetView>
  </sheetViews>
  <sheetFormatPr defaultRowHeight="13.5" x14ac:dyDescent="0.15"/>
  <cols>
    <col min="1" max="1" width="24.125" bestFit="1" customWidth="1"/>
    <col min="2" max="2" width="9.125" style="15" customWidth="1"/>
    <col min="3" max="3" width="36.375" bestFit="1" customWidth="1"/>
    <col min="4" max="4" width="12.75" style="60" customWidth="1"/>
    <col min="5" max="5" width="11.125" customWidth="1"/>
    <col min="6" max="7" width="11.125" style="5" customWidth="1"/>
    <col min="8" max="8" width="9" bestFit="1" customWidth="1"/>
  </cols>
  <sheetData>
    <row r="1" spans="1:9" x14ac:dyDescent="0.15">
      <c r="A1" s="181" t="s">
        <v>129</v>
      </c>
      <c r="B1" s="181"/>
      <c r="C1" s="181"/>
      <c r="D1" s="181"/>
      <c r="E1" s="181"/>
      <c r="F1" s="181"/>
      <c r="G1" s="181"/>
      <c r="H1" s="181"/>
    </row>
    <row r="2" spans="1:9" x14ac:dyDescent="0.15">
      <c r="A2" s="27" t="s">
        <v>30</v>
      </c>
      <c r="B2" s="27"/>
    </row>
    <row r="3" spans="1:9" x14ac:dyDescent="0.15">
      <c r="A3" s="191" t="s">
        <v>0</v>
      </c>
      <c r="B3" s="191" t="s">
        <v>32</v>
      </c>
      <c r="C3" s="191" t="s">
        <v>1</v>
      </c>
      <c r="D3" s="193" t="s">
        <v>2</v>
      </c>
      <c r="E3" s="191" t="s">
        <v>3</v>
      </c>
      <c r="F3" s="191" t="s">
        <v>12</v>
      </c>
      <c r="G3" s="191" t="s">
        <v>11</v>
      </c>
      <c r="H3" s="191" t="s">
        <v>4</v>
      </c>
      <c r="I3" s="190" t="s">
        <v>18</v>
      </c>
    </row>
    <row r="4" spans="1:9" s="5" customFormat="1" x14ac:dyDescent="0.15">
      <c r="A4" s="192"/>
      <c r="B4" s="192"/>
      <c r="C4" s="192"/>
      <c r="D4" s="194"/>
      <c r="E4" s="192"/>
      <c r="F4" s="192"/>
      <c r="G4" s="192"/>
      <c r="H4" s="192"/>
      <c r="I4" s="190"/>
    </row>
    <row r="5" spans="1:9" x14ac:dyDescent="0.15">
      <c r="A5" s="8" t="s">
        <v>217</v>
      </c>
      <c r="B5" s="8" t="s">
        <v>6</v>
      </c>
      <c r="C5" s="20" t="s">
        <v>335</v>
      </c>
      <c r="D5" s="141" t="str">
        <f t="shared" ref="D5:D24" si="0">IF(OR(B5="不要",B5=""),"",VLOOKUP(C5,教科書一覧,2,FALSE))</f>
        <v/>
      </c>
      <c r="E5" s="19" t="str">
        <f t="shared" ref="E5:E24" si="1">IF(OR(B5="不要",B5=""),"",VLOOKUP(C5,教科書一覧,3,FALSE))</f>
        <v/>
      </c>
      <c r="F5" s="166" t="s">
        <v>378</v>
      </c>
      <c r="G5" s="88" t="s">
        <v>379</v>
      </c>
      <c r="H5" s="8"/>
      <c r="I5" s="88"/>
    </row>
    <row r="6" spans="1:9" s="5" customFormat="1" x14ac:dyDescent="0.15">
      <c r="A6" s="8" t="s">
        <v>218</v>
      </c>
      <c r="B6" s="8" t="s">
        <v>311</v>
      </c>
      <c r="C6" s="20" t="s">
        <v>288</v>
      </c>
      <c r="D6" s="141" t="str">
        <f t="shared" si="0"/>
        <v>実教出版</v>
      </c>
      <c r="E6" s="19">
        <f t="shared" si="1"/>
        <v>972.00000000000011</v>
      </c>
      <c r="F6" s="88" t="s">
        <v>226</v>
      </c>
      <c r="G6" s="88" t="s">
        <v>226</v>
      </c>
      <c r="H6" s="8"/>
      <c r="I6" s="88"/>
    </row>
    <row r="7" spans="1:9" s="5" customFormat="1" x14ac:dyDescent="0.15">
      <c r="A7" s="8" t="s">
        <v>167</v>
      </c>
      <c r="B7" s="8" t="s">
        <v>314</v>
      </c>
      <c r="C7" s="20" t="s">
        <v>190</v>
      </c>
      <c r="D7" s="141" t="str">
        <f t="shared" si="0"/>
        <v/>
      </c>
      <c r="E7" s="19" t="str">
        <f t="shared" si="1"/>
        <v/>
      </c>
      <c r="F7" s="88" t="s">
        <v>226</v>
      </c>
      <c r="G7" s="88" t="s">
        <v>226</v>
      </c>
      <c r="H7" s="8"/>
      <c r="I7" s="88"/>
    </row>
    <row r="8" spans="1:9" s="5" customFormat="1" x14ac:dyDescent="0.15">
      <c r="A8" s="8" t="s">
        <v>206</v>
      </c>
      <c r="B8" s="8" t="s">
        <v>6</v>
      </c>
      <c r="C8" s="8" t="s">
        <v>158</v>
      </c>
      <c r="D8" s="141" t="str">
        <f t="shared" si="0"/>
        <v/>
      </c>
      <c r="E8" s="19" t="str">
        <f t="shared" si="1"/>
        <v/>
      </c>
      <c r="F8" s="166" t="s">
        <v>378</v>
      </c>
      <c r="G8" s="88" t="s">
        <v>379</v>
      </c>
      <c r="H8" s="22"/>
      <c r="I8" s="88"/>
    </row>
    <row r="9" spans="1:9" s="5" customFormat="1" x14ac:dyDescent="0.15">
      <c r="A9" s="8" t="s">
        <v>166</v>
      </c>
      <c r="B9" s="8" t="s">
        <v>314</v>
      </c>
      <c r="C9" s="8" t="s">
        <v>313</v>
      </c>
      <c r="D9" s="141" t="str">
        <f t="shared" si="0"/>
        <v/>
      </c>
      <c r="E9" s="19" t="str">
        <f t="shared" si="1"/>
        <v/>
      </c>
      <c r="F9" s="88" t="s">
        <v>226</v>
      </c>
      <c r="G9" s="88" t="s">
        <v>226</v>
      </c>
      <c r="H9" s="8"/>
      <c r="I9" s="88"/>
    </row>
    <row r="10" spans="1:9" s="5" customFormat="1" x14ac:dyDescent="0.15">
      <c r="A10" s="8" t="s">
        <v>219</v>
      </c>
      <c r="B10" s="8" t="s">
        <v>315</v>
      </c>
      <c r="C10" s="8" t="s">
        <v>313</v>
      </c>
      <c r="D10" s="141" t="str">
        <f t="shared" si="0"/>
        <v/>
      </c>
      <c r="E10" s="19" t="str">
        <f t="shared" si="1"/>
        <v/>
      </c>
      <c r="F10" s="88" t="s">
        <v>226</v>
      </c>
      <c r="G10" s="88" t="s">
        <v>226</v>
      </c>
      <c r="H10" s="8"/>
      <c r="I10" s="88"/>
    </row>
    <row r="11" spans="1:9" s="5" customFormat="1" x14ac:dyDescent="0.15">
      <c r="A11" s="8" t="s">
        <v>220</v>
      </c>
      <c r="B11" s="8" t="s">
        <v>6</v>
      </c>
      <c r="C11" s="8" t="s">
        <v>337</v>
      </c>
      <c r="D11" s="141" t="str">
        <f t="shared" si="0"/>
        <v/>
      </c>
      <c r="E11" s="19" t="str">
        <f t="shared" si="1"/>
        <v/>
      </c>
      <c r="F11" s="88" t="s">
        <v>226</v>
      </c>
      <c r="G11" s="88"/>
      <c r="H11" s="8"/>
      <c r="I11" s="88"/>
    </row>
    <row r="12" spans="1:9" s="5" customFormat="1" x14ac:dyDescent="0.15">
      <c r="A12" s="8" t="s">
        <v>225</v>
      </c>
      <c r="B12" s="8" t="s">
        <v>6</v>
      </c>
      <c r="C12" s="20" t="s">
        <v>377</v>
      </c>
      <c r="D12" s="141" t="str">
        <f t="shared" si="0"/>
        <v/>
      </c>
      <c r="E12" s="19" t="str">
        <f t="shared" si="1"/>
        <v/>
      </c>
      <c r="F12" s="88"/>
      <c r="G12" s="88" t="s">
        <v>379</v>
      </c>
      <c r="H12" s="8"/>
      <c r="I12" s="88"/>
    </row>
    <row r="13" spans="1:9" s="5" customFormat="1" x14ac:dyDescent="0.15">
      <c r="A13" s="8" t="s">
        <v>222</v>
      </c>
      <c r="B13" s="8" t="s">
        <v>311</v>
      </c>
      <c r="C13" s="22" t="s">
        <v>295</v>
      </c>
      <c r="D13" s="141" t="str">
        <f t="shared" si="0"/>
        <v>くろしお出版</v>
      </c>
      <c r="E13" s="71">
        <f t="shared" si="1"/>
        <v>2139</v>
      </c>
      <c r="F13" s="88" t="s">
        <v>226</v>
      </c>
      <c r="G13" s="88" t="s">
        <v>226</v>
      </c>
      <c r="H13" s="83"/>
      <c r="I13" s="142"/>
    </row>
    <row r="14" spans="1:9" s="15" customFormat="1" x14ac:dyDescent="0.15">
      <c r="A14" s="8" t="s">
        <v>223</v>
      </c>
      <c r="B14" s="8" t="s">
        <v>317</v>
      </c>
      <c r="C14" s="22" t="s">
        <v>316</v>
      </c>
      <c r="D14" s="141" t="str">
        <f t="shared" si="0"/>
        <v/>
      </c>
      <c r="E14" s="71" t="str">
        <f t="shared" si="1"/>
        <v/>
      </c>
      <c r="F14" s="84" t="s">
        <v>226</v>
      </c>
      <c r="G14" s="84" t="s">
        <v>226</v>
      </c>
      <c r="H14" s="83"/>
      <c r="I14" s="142"/>
    </row>
    <row r="15" spans="1:9" s="5" customFormat="1" x14ac:dyDescent="0.15">
      <c r="A15" s="8" t="s">
        <v>224</v>
      </c>
      <c r="B15" s="8" t="s">
        <v>311</v>
      </c>
      <c r="C15" s="22" t="s">
        <v>294</v>
      </c>
      <c r="D15" s="141" t="str">
        <f t="shared" si="0"/>
        <v>くろしお出版</v>
      </c>
      <c r="E15" s="71">
        <f t="shared" si="1"/>
        <v>3208</v>
      </c>
      <c r="F15" s="84" t="s">
        <v>226</v>
      </c>
      <c r="G15" s="84" t="s">
        <v>226</v>
      </c>
      <c r="H15" s="83"/>
      <c r="I15" s="142"/>
    </row>
    <row r="16" spans="1:9" s="15" customFormat="1" x14ac:dyDescent="0.15">
      <c r="A16" s="8" t="s">
        <v>221</v>
      </c>
      <c r="B16" s="8" t="s">
        <v>311</v>
      </c>
      <c r="C16" s="143" t="s">
        <v>287</v>
      </c>
      <c r="D16" s="144" t="str">
        <f t="shared" si="0"/>
        <v>くろしお出版</v>
      </c>
      <c r="E16" s="145">
        <f t="shared" si="1"/>
        <v>2139</v>
      </c>
      <c r="F16" s="88" t="s">
        <v>226</v>
      </c>
      <c r="G16" s="88" t="s">
        <v>226</v>
      </c>
      <c r="H16" s="83"/>
      <c r="I16" s="142"/>
    </row>
    <row r="17" spans="1:9" s="5" customFormat="1" x14ac:dyDescent="0.15">
      <c r="A17" s="8"/>
      <c r="B17" s="8"/>
      <c r="C17" s="20"/>
      <c r="D17" s="141" t="str">
        <f t="shared" si="0"/>
        <v/>
      </c>
      <c r="E17" s="19" t="str">
        <f t="shared" si="1"/>
        <v/>
      </c>
      <c r="F17" s="70"/>
      <c r="G17" s="70"/>
      <c r="H17" s="8"/>
      <c r="I17" s="70"/>
    </row>
    <row r="18" spans="1:9" s="15" customFormat="1" x14ac:dyDescent="0.15">
      <c r="A18" s="8"/>
      <c r="B18" s="8"/>
      <c r="C18" s="8"/>
      <c r="D18" s="141" t="str">
        <f t="shared" si="0"/>
        <v/>
      </c>
      <c r="E18" s="19" t="str">
        <f t="shared" si="1"/>
        <v/>
      </c>
      <c r="F18" s="70"/>
      <c r="G18" s="70"/>
      <c r="H18" s="8"/>
      <c r="I18" s="8"/>
    </row>
    <row r="19" spans="1:9" s="15" customFormat="1" x14ac:dyDescent="0.15">
      <c r="A19" s="8"/>
      <c r="B19" s="8"/>
      <c r="C19" s="8"/>
      <c r="D19" s="141" t="str">
        <f t="shared" si="0"/>
        <v/>
      </c>
      <c r="E19" s="19" t="str">
        <f t="shared" si="1"/>
        <v/>
      </c>
      <c r="F19" s="19"/>
      <c r="G19" s="19"/>
      <c r="H19" s="8"/>
      <c r="I19" s="8"/>
    </row>
    <row r="20" spans="1:9" s="15" customFormat="1" x14ac:dyDescent="0.15">
      <c r="A20" s="8"/>
      <c r="B20" s="8"/>
      <c r="C20" s="8"/>
      <c r="D20" s="141" t="str">
        <f t="shared" si="0"/>
        <v/>
      </c>
      <c r="E20" s="19" t="str">
        <f t="shared" si="1"/>
        <v/>
      </c>
      <c r="F20" s="19"/>
      <c r="G20" s="19"/>
      <c r="H20" s="8"/>
      <c r="I20" s="8"/>
    </row>
    <row r="21" spans="1:9" s="15" customFormat="1" x14ac:dyDescent="0.15">
      <c r="A21" s="8"/>
      <c r="B21" s="8"/>
      <c r="C21" s="8"/>
      <c r="D21" s="141" t="str">
        <f t="shared" si="0"/>
        <v/>
      </c>
      <c r="E21" s="19" t="str">
        <f t="shared" si="1"/>
        <v/>
      </c>
      <c r="F21" s="70"/>
      <c r="G21" s="70"/>
      <c r="H21" s="8"/>
      <c r="I21" s="8"/>
    </row>
    <row r="22" spans="1:9" s="15" customFormat="1" x14ac:dyDescent="0.15">
      <c r="A22" s="8"/>
      <c r="B22" s="8"/>
      <c r="C22" s="8"/>
      <c r="D22" s="141" t="str">
        <f t="shared" si="0"/>
        <v/>
      </c>
      <c r="E22" s="19" t="str">
        <f t="shared" si="1"/>
        <v/>
      </c>
      <c r="F22" s="19"/>
      <c r="G22" s="19"/>
      <c r="H22" s="8"/>
      <c r="I22" s="8"/>
    </row>
    <row r="23" spans="1:9" s="15" customFormat="1" x14ac:dyDescent="0.15">
      <c r="A23" s="8"/>
      <c r="B23" s="8"/>
      <c r="C23" s="8"/>
      <c r="D23" s="141" t="str">
        <f t="shared" si="0"/>
        <v/>
      </c>
      <c r="E23" s="19" t="str">
        <f t="shared" si="1"/>
        <v/>
      </c>
      <c r="F23" s="19"/>
      <c r="G23" s="19"/>
      <c r="H23" s="8"/>
      <c r="I23" s="8"/>
    </row>
    <row r="24" spans="1:9" x14ac:dyDescent="0.15">
      <c r="A24" s="8"/>
      <c r="B24" s="8"/>
      <c r="C24" s="8"/>
      <c r="D24" s="141" t="str">
        <f t="shared" si="0"/>
        <v/>
      </c>
      <c r="E24" s="19" t="str">
        <f t="shared" si="1"/>
        <v/>
      </c>
      <c r="F24" s="19"/>
      <c r="G24" s="19"/>
      <c r="H24" s="8"/>
      <c r="I24" s="8"/>
    </row>
    <row r="25" spans="1:9" x14ac:dyDescent="0.15">
      <c r="A25" s="5"/>
      <c r="B25" s="175">
        <f>COUNTIF(B5:B24,"購入")</f>
        <v>4</v>
      </c>
      <c r="C25" s="5"/>
      <c r="D25" s="60" t="s">
        <v>5</v>
      </c>
      <c r="E25" s="79">
        <f>SUM(E5:E24)</f>
        <v>8458</v>
      </c>
      <c r="F25" s="75">
        <f>SUMIF(F5:F24,"○",$E$5:$E$24)</f>
        <v>8458</v>
      </c>
      <c r="G25" s="75">
        <f>SUMIF(G5:G24,"○",$E$5:$E$24)</f>
        <v>8458</v>
      </c>
      <c r="H25" s="5"/>
    </row>
    <row r="27" spans="1:9" x14ac:dyDescent="0.15">
      <c r="E27" t="s">
        <v>352</v>
      </c>
      <c r="F27" s="6">
        <f>H31-20000</f>
        <v>0</v>
      </c>
      <c r="G27" s="6">
        <f>H32-20000</f>
        <v>0</v>
      </c>
    </row>
    <row r="29" spans="1:9" x14ac:dyDescent="0.15">
      <c r="A29" t="s">
        <v>115</v>
      </c>
      <c r="C29" t="s">
        <v>113</v>
      </c>
      <c r="E29" s="6">
        <v>1042</v>
      </c>
      <c r="F29" s="5" t="s">
        <v>114</v>
      </c>
    </row>
    <row r="30" spans="1:9" x14ac:dyDescent="0.15">
      <c r="A30" t="s">
        <v>104</v>
      </c>
    </row>
    <row r="31" spans="1:9" x14ac:dyDescent="0.15">
      <c r="A31" s="189" t="s">
        <v>107</v>
      </c>
      <c r="B31" s="189"/>
      <c r="C31" s="189"/>
      <c r="D31" s="189"/>
      <c r="E31" s="34">
        <v>5500</v>
      </c>
      <c r="G31" s="5" t="s">
        <v>360</v>
      </c>
      <c r="H31" s="6">
        <f>F25+E29+E31+E39</f>
        <v>20000</v>
      </c>
    </row>
    <row r="32" spans="1:9" x14ac:dyDescent="0.15">
      <c r="A32" s="189"/>
      <c r="B32" s="189"/>
      <c r="C32" s="189"/>
      <c r="D32" s="189"/>
      <c r="E32" s="34"/>
      <c r="G32" s="5" t="s">
        <v>361</v>
      </c>
      <c r="H32" s="6">
        <f>G25+E29+E31+E39</f>
        <v>20000</v>
      </c>
    </row>
    <row r="33" spans="1:5" s="15" customFormat="1" x14ac:dyDescent="0.15">
      <c r="A33" s="151" t="s">
        <v>349</v>
      </c>
      <c r="B33" s="152"/>
      <c r="C33" s="152"/>
      <c r="D33" s="153"/>
      <c r="E33" s="34" t="s">
        <v>351</v>
      </c>
    </row>
    <row r="34" spans="1:5" s="15" customFormat="1" x14ac:dyDescent="0.15">
      <c r="A34" s="186" t="s">
        <v>348</v>
      </c>
      <c r="B34" s="187"/>
      <c r="C34" s="187"/>
      <c r="D34" s="188"/>
      <c r="E34" s="34" t="s">
        <v>351</v>
      </c>
    </row>
    <row r="35" spans="1:5" s="15" customFormat="1" x14ac:dyDescent="0.15">
      <c r="A35" s="186" t="s">
        <v>347</v>
      </c>
      <c r="B35" s="187"/>
      <c r="C35" s="187"/>
      <c r="D35" s="188"/>
      <c r="E35" s="34" t="s">
        <v>351</v>
      </c>
    </row>
    <row r="36" spans="1:5" s="15" customFormat="1" x14ac:dyDescent="0.15">
      <c r="A36" s="186" t="s">
        <v>345</v>
      </c>
      <c r="B36" s="187"/>
      <c r="C36" s="187"/>
      <c r="D36" s="188"/>
      <c r="E36" s="34" t="s">
        <v>351</v>
      </c>
    </row>
    <row r="37" spans="1:5" s="15" customFormat="1" x14ac:dyDescent="0.15">
      <c r="A37" s="186" t="s">
        <v>344</v>
      </c>
      <c r="B37" s="187"/>
      <c r="C37" s="187"/>
      <c r="D37" s="188"/>
      <c r="E37" s="34">
        <f>CKGTシャツ代</f>
        <v>2500</v>
      </c>
    </row>
    <row r="38" spans="1:5" x14ac:dyDescent="0.15">
      <c r="A38" s="189" t="s">
        <v>342</v>
      </c>
      <c r="B38" s="189"/>
      <c r="C38" s="189"/>
      <c r="D38" s="189"/>
      <c r="E38" s="34">
        <f>KENKOSINDANJUSHINN</f>
        <v>2500</v>
      </c>
    </row>
    <row r="39" spans="1:5" x14ac:dyDescent="0.15">
      <c r="E39" s="65">
        <f>SUM(E33:E38)</f>
        <v>5000</v>
      </c>
    </row>
  </sheetData>
  <customSheetViews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1"/>
    </customSheetView>
    <customSheetView guid="{8C3311D4-BF6B-4714-8FEE-EF832EA44719}" showPageBreaks="1" fitToPage="1" view="pageBreakPreview">
      <selection activeCell="C6" sqref="C6"/>
      <pageMargins left="0.70866141732283472" right="0.70866141732283472" top="0.74803149606299213" bottom="0.74803149606299213" header="0.31496062992125984" footer="0.31496062992125984"/>
      <pageSetup paperSize="9" orientation="landscape" r:id="rId2"/>
    </customSheetView>
  </customSheetViews>
  <mergeCells count="17">
    <mergeCell ref="A1:H1"/>
    <mergeCell ref="E3:E4"/>
    <mergeCell ref="D3:D4"/>
    <mergeCell ref="C3:C4"/>
    <mergeCell ref="A3:A4"/>
    <mergeCell ref="F3:F4"/>
    <mergeCell ref="G3:G4"/>
    <mergeCell ref="H3:H4"/>
    <mergeCell ref="B3:B4"/>
    <mergeCell ref="A35:D35"/>
    <mergeCell ref="A31:D31"/>
    <mergeCell ref="A32:D32"/>
    <mergeCell ref="A38:D38"/>
    <mergeCell ref="I3:I4"/>
    <mergeCell ref="A37:D37"/>
    <mergeCell ref="A36:D36"/>
    <mergeCell ref="A34:D34"/>
  </mergeCells>
  <phoneticPr fontId="1"/>
  <conditionalFormatting sqref="A6:I7 A5:E5 G5:I5 A8:E8 G8:I8 A9:I24">
    <cfRule type="expression" dxfId="4" priority="3">
      <formula>$B5="不要"</formula>
    </cfRule>
  </conditionalFormatting>
  <conditionalFormatting sqref="F5">
    <cfRule type="expression" dxfId="3" priority="2">
      <formula>$B5="不要"</formula>
    </cfRule>
  </conditionalFormatting>
  <conditionalFormatting sqref="F8">
    <cfRule type="expression" dxfId="2" priority="1">
      <formula>$B8="不要"</formula>
    </cfRule>
  </conditionalFormatting>
  <dataValidations disablePrompts="1"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  <dataValidation type="list" allowBlank="1" showInputMessage="1" showErrorMessage="1" sqref="C5:C24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41"/>
  <sheetViews>
    <sheetView view="pageBreakPreview" topLeftCell="A4" zoomScale="85" zoomScaleNormal="85" zoomScaleSheetLayoutView="85" workbookViewId="0">
      <selection activeCell="N31" sqref="N31"/>
    </sheetView>
  </sheetViews>
  <sheetFormatPr defaultColWidth="9" defaultRowHeight="13.5" outlineLevelCol="1" x14ac:dyDescent="0.15"/>
  <cols>
    <col min="1" max="1" width="24.125" style="15" bestFit="1" customWidth="1"/>
    <col min="2" max="2" width="9.125" style="15" customWidth="1"/>
    <col min="3" max="3" width="41.125" style="60" customWidth="1"/>
    <col min="4" max="4" width="18.375" style="15" customWidth="1"/>
    <col min="5" max="5" width="11.125" style="15" customWidth="1"/>
    <col min="6" max="6" width="12.125" style="15" customWidth="1"/>
    <col min="7" max="7" width="12.125" style="15" hidden="1" customWidth="1" outlineLevel="1"/>
    <col min="8" max="8" width="12.125" style="15" customWidth="1" collapsed="1"/>
    <col min="9" max="9" width="8.625" style="15" hidden="1" customWidth="1" outlineLevel="1"/>
    <col min="10" max="13" width="11.125" style="15" hidden="1" customWidth="1" outlineLevel="1"/>
    <col min="14" max="14" width="12.625" style="15" customWidth="1" collapsed="1"/>
    <col min="15" max="15" width="9" style="15"/>
    <col min="16" max="16" width="24.5" style="15" customWidth="1"/>
    <col min="17" max="16384" width="9" style="15"/>
  </cols>
  <sheetData>
    <row r="1" spans="1:16" x14ac:dyDescent="0.15">
      <c r="A1" s="181" t="s">
        <v>130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</row>
    <row r="2" spans="1:16" x14ac:dyDescent="0.15">
      <c r="A2" s="27" t="s">
        <v>30</v>
      </c>
      <c r="B2" s="27"/>
    </row>
    <row r="3" spans="1:16" x14ac:dyDescent="0.15">
      <c r="A3" s="191" t="s">
        <v>0</v>
      </c>
      <c r="B3" s="29" t="s">
        <v>32</v>
      </c>
      <c r="C3" s="193" t="s">
        <v>1</v>
      </c>
      <c r="D3" s="191" t="s">
        <v>2</v>
      </c>
      <c r="E3" s="191" t="s">
        <v>3</v>
      </c>
      <c r="F3" s="197" t="s">
        <v>99</v>
      </c>
      <c r="G3" s="197"/>
      <c r="H3" s="197" t="s">
        <v>101</v>
      </c>
      <c r="I3" s="197"/>
      <c r="J3" s="195" t="s">
        <v>12</v>
      </c>
      <c r="K3" s="196"/>
      <c r="L3" s="195" t="s">
        <v>11</v>
      </c>
      <c r="M3" s="196"/>
      <c r="N3" s="2" t="s">
        <v>4</v>
      </c>
      <c r="O3" s="190" t="s">
        <v>18</v>
      </c>
    </row>
    <row r="4" spans="1:16" x14ac:dyDescent="0.15">
      <c r="A4" s="192"/>
      <c r="B4" s="30"/>
      <c r="C4" s="194"/>
      <c r="D4" s="192"/>
      <c r="E4" s="192"/>
      <c r="F4" s="69"/>
      <c r="G4" s="69"/>
      <c r="H4" s="69"/>
      <c r="I4" s="69" t="s">
        <v>100</v>
      </c>
      <c r="J4" s="2" t="s">
        <v>9</v>
      </c>
      <c r="K4" s="2" t="s">
        <v>10</v>
      </c>
      <c r="L4" s="2" t="s">
        <v>9</v>
      </c>
      <c r="M4" s="2" t="s">
        <v>10</v>
      </c>
      <c r="N4" s="2"/>
      <c r="O4" s="190"/>
    </row>
    <row r="5" spans="1:16" x14ac:dyDescent="0.15">
      <c r="A5" s="85" t="s">
        <v>132</v>
      </c>
      <c r="B5" s="37" t="s">
        <v>133</v>
      </c>
      <c r="C5" s="12" t="s">
        <v>135</v>
      </c>
      <c r="D5" s="37" t="s">
        <v>134</v>
      </c>
      <c r="E5" s="18">
        <f>VLOOKUP(C5,教科書一覧,3,FALSE)</f>
        <v>1815</v>
      </c>
      <c r="F5" s="166" t="s">
        <v>378</v>
      </c>
      <c r="G5" s="87" t="s">
        <v>136</v>
      </c>
      <c r="H5" s="87"/>
      <c r="I5" s="87"/>
      <c r="J5" s="87" t="s">
        <v>136</v>
      </c>
      <c r="K5" s="87" t="s">
        <v>136</v>
      </c>
      <c r="L5" s="87"/>
      <c r="M5" s="87"/>
      <c r="N5" s="86"/>
      <c r="O5" s="88" t="s">
        <v>137</v>
      </c>
    </row>
    <row r="6" spans="1:16" x14ac:dyDescent="0.15">
      <c r="A6" s="71" t="s">
        <v>147</v>
      </c>
      <c r="B6" s="37" t="s">
        <v>133</v>
      </c>
      <c r="C6" s="12" t="s">
        <v>148</v>
      </c>
      <c r="D6" s="37" t="s">
        <v>149</v>
      </c>
      <c r="E6" s="18">
        <f>VLOOKUP(C6,教科書一覧,3,FALSE)</f>
        <v>2592</v>
      </c>
      <c r="F6" s="87" t="s">
        <v>136</v>
      </c>
      <c r="G6" s="87" t="s">
        <v>136</v>
      </c>
      <c r="H6" s="87" t="s">
        <v>117</v>
      </c>
      <c r="I6" s="87" t="s">
        <v>136</v>
      </c>
      <c r="J6" s="13"/>
      <c r="K6" s="13"/>
      <c r="L6" s="13"/>
      <c r="M6" s="13"/>
      <c r="N6" s="37"/>
      <c r="O6" s="88" t="s">
        <v>137</v>
      </c>
      <c r="P6" s="65"/>
    </row>
    <row r="7" spans="1:16" x14ac:dyDescent="0.15">
      <c r="A7" s="37" t="s">
        <v>172</v>
      </c>
      <c r="B7" s="8" t="s">
        <v>309</v>
      </c>
      <c r="C7" s="77" t="s">
        <v>163</v>
      </c>
      <c r="D7" s="8" t="str">
        <f t="shared" ref="D7:D17" si="0">VLOOKUP(C7,教科書一覧,2,FALSE)</f>
        <v>SBクリエイティブ</v>
      </c>
      <c r="E7" s="19">
        <f>VLOOKUP(C7,教科書一覧,3,FALSE)</f>
        <v>2570</v>
      </c>
      <c r="F7" s="70"/>
      <c r="G7" s="70"/>
      <c r="H7" s="70" t="s">
        <v>226</v>
      </c>
      <c r="I7" s="70"/>
      <c r="J7" s="13"/>
      <c r="K7" s="13"/>
      <c r="L7" s="13"/>
      <c r="M7" s="13"/>
      <c r="N7" s="36"/>
      <c r="O7" s="88"/>
    </row>
    <row r="8" spans="1:16" x14ac:dyDescent="0.15">
      <c r="A8" s="80" t="s">
        <v>194</v>
      </c>
      <c r="B8" s="8" t="s">
        <v>310</v>
      </c>
      <c r="C8" s="146" t="s">
        <v>307</v>
      </c>
      <c r="D8" s="8" t="s">
        <v>67</v>
      </c>
      <c r="E8" s="19">
        <v>1922</v>
      </c>
      <c r="F8" s="13"/>
      <c r="G8" s="13"/>
      <c r="H8" s="13" t="s">
        <v>226</v>
      </c>
      <c r="I8" s="13"/>
      <c r="J8" s="13"/>
      <c r="K8" s="13"/>
      <c r="L8" s="13"/>
      <c r="M8" s="13"/>
      <c r="N8" s="37"/>
      <c r="O8" s="88"/>
      <c r="P8" s="73"/>
    </row>
    <row r="9" spans="1:16" x14ac:dyDescent="0.15">
      <c r="A9" s="37" t="s">
        <v>227</v>
      </c>
      <c r="B9" s="8" t="s">
        <v>310</v>
      </c>
      <c r="C9" s="77" t="s">
        <v>305</v>
      </c>
      <c r="D9" s="8" t="str">
        <f t="shared" si="0"/>
        <v>翔泳社</v>
      </c>
      <c r="E9" s="19">
        <f>VLOOKUP(C9,教科書一覧,3,FALSE)</f>
        <v>2480</v>
      </c>
      <c r="F9" s="13"/>
      <c r="G9" s="13"/>
      <c r="H9" s="13" t="s">
        <v>379</v>
      </c>
      <c r="I9" s="13"/>
      <c r="J9" s="13"/>
      <c r="K9" s="13"/>
      <c r="L9" s="13"/>
      <c r="M9" s="13"/>
      <c r="N9" s="37"/>
      <c r="O9" s="88"/>
      <c r="P9" s="72"/>
    </row>
    <row r="10" spans="1:16" x14ac:dyDescent="0.15">
      <c r="A10" s="90" t="s">
        <v>232</v>
      </c>
      <c r="B10" s="101" t="s">
        <v>6</v>
      </c>
      <c r="C10" s="103" t="s">
        <v>341</v>
      </c>
      <c r="D10" s="101"/>
      <c r="E10" s="104"/>
      <c r="F10" s="13" t="s">
        <v>226</v>
      </c>
      <c r="G10" s="13"/>
      <c r="H10" s="13"/>
      <c r="I10" s="13"/>
      <c r="J10" s="13"/>
      <c r="K10" s="13"/>
      <c r="L10" s="13"/>
      <c r="M10" s="13"/>
      <c r="N10" s="14"/>
      <c r="O10" s="26"/>
    </row>
    <row r="11" spans="1:16" x14ac:dyDescent="0.15">
      <c r="A11" s="37" t="s">
        <v>228</v>
      </c>
      <c r="B11" s="8" t="s">
        <v>310</v>
      </c>
      <c r="C11" s="77" t="s">
        <v>191</v>
      </c>
      <c r="D11" s="8" t="str">
        <f t="shared" si="0"/>
        <v>翔泳社</v>
      </c>
      <c r="E11" s="19">
        <f>VLOOKUP(C11,教科書一覧,3,FALSE)</f>
        <v>1922</v>
      </c>
      <c r="F11" s="13"/>
      <c r="G11" s="13"/>
      <c r="H11" s="13" t="s">
        <v>379</v>
      </c>
      <c r="I11" s="13"/>
      <c r="J11" s="13"/>
      <c r="K11" s="13"/>
      <c r="L11" s="13"/>
      <c r="M11" s="13"/>
      <c r="N11" s="14"/>
      <c r="O11" s="26"/>
    </row>
    <row r="12" spans="1:16" ht="13.5" customHeight="1" x14ac:dyDescent="0.15">
      <c r="A12" s="37" t="s">
        <v>229</v>
      </c>
      <c r="B12" s="8" t="s">
        <v>310</v>
      </c>
      <c r="C12" s="77" t="s">
        <v>291</v>
      </c>
      <c r="D12" s="20" t="str">
        <f t="shared" si="0"/>
        <v>スリーエーネットワーク</v>
      </c>
      <c r="E12" s="71">
        <f>VLOOKUP(C12,教科書一覧,3,FALSE)</f>
        <v>1750</v>
      </c>
      <c r="F12" s="13" t="s">
        <v>226</v>
      </c>
      <c r="G12" s="13" t="s">
        <v>226</v>
      </c>
      <c r="H12" s="13" t="s">
        <v>226</v>
      </c>
      <c r="I12" s="13"/>
      <c r="J12" s="13"/>
      <c r="K12" s="13"/>
      <c r="L12" s="13"/>
      <c r="M12" s="13"/>
      <c r="N12" s="14"/>
      <c r="O12" s="71"/>
    </row>
    <row r="13" spans="1:16" x14ac:dyDescent="0.15">
      <c r="A13" s="37" t="s">
        <v>230</v>
      </c>
      <c r="B13" s="101" t="s">
        <v>6</v>
      </c>
      <c r="C13" s="103"/>
      <c r="D13" s="101"/>
      <c r="E13" s="104"/>
      <c r="F13" s="87" t="s">
        <v>226</v>
      </c>
      <c r="G13" s="87" t="s">
        <v>226</v>
      </c>
      <c r="H13" s="87" t="s">
        <v>226</v>
      </c>
      <c r="I13" s="13"/>
      <c r="J13" s="13"/>
      <c r="K13" s="13"/>
      <c r="L13" s="13"/>
      <c r="M13" s="13"/>
      <c r="N13" s="14"/>
      <c r="O13" s="71"/>
    </row>
    <row r="14" spans="1:16" x14ac:dyDescent="0.15">
      <c r="A14" s="37" t="s">
        <v>231</v>
      </c>
      <c r="B14" s="8" t="s">
        <v>311</v>
      </c>
      <c r="C14" s="77" t="s">
        <v>290</v>
      </c>
      <c r="D14" s="8" t="str">
        <f t="shared" si="0"/>
        <v>株式会社アルク</v>
      </c>
      <c r="E14" s="19">
        <f>VLOOKUP(C14,教科書一覧,3,FALSE)</f>
        <v>1361</v>
      </c>
      <c r="F14" s="87" t="s">
        <v>226</v>
      </c>
      <c r="G14" s="87" t="s">
        <v>226</v>
      </c>
      <c r="H14" s="87" t="s">
        <v>226</v>
      </c>
      <c r="I14" s="13"/>
      <c r="J14" s="13"/>
      <c r="K14" s="13"/>
      <c r="L14" s="13"/>
      <c r="M14" s="13"/>
      <c r="N14" s="37"/>
      <c r="O14" s="26"/>
    </row>
    <row r="15" spans="1:16" x14ac:dyDescent="0.15">
      <c r="A15" s="37" t="s">
        <v>218</v>
      </c>
      <c r="B15" s="8" t="s">
        <v>311</v>
      </c>
      <c r="C15" s="77" t="s">
        <v>288</v>
      </c>
      <c r="D15" s="20" t="str">
        <f t="shared" si="0"/>
        <v>実教出版</v>
      </c>
      <c r="E15" s="71">
        <f>VLOOKUP(C15,教科書一覧,3,FALSE)</f>
        <v>972.00000000000011</v>
      </c>
      <c r="F15" s="87" t="s">
        <v>136</v>
      </c>
      <c r="G15" s="87"/>
      <c r="H15" s="87"/>
      <c r="I15" s="13"/>
      <c r="J15" s="13"/>
      <c r="K15" s="13"/>
      <c r="L15" s="13"/>
      <c r="M15" s="13"/>
      <c r="N15" s="14"/>
      <c r="O15" s="71"/>
    </row>
    <row r="16" spans="1:16" x14ac:dyDescent="0.15">
      <c r="A16" s="90" t="s">
        <v>233</v>
      </c>
      <c r="B16" s="8" t="s">
        <v>133</v>
      </c>
      <c r="C16" s="77" t="s">
        <v>285</v>
      </c>
      <c r="D16" s="8" t="str">
        <f t="shared" si="0"/>
        <v>株式会社アンク</v>
      </c>
      <c r="E16" s="19">
        <f>VLOOKUP(C16,教科書一覧,3,FALSE)</f>
        <v>1814</v>
      </c>
      <c r="F16" s="87" t="s">
        <v>136</v>
      </c>
      <c r="G16" s="87"/>
      <c r="H16" s="87"/>
      <c r="I16" s="13"/>
      <c r="J16" s="13"/>
      <c r="K16" s="13"/>
      <c r="L16" s="13"/>
      <c r="M16" s="13"/>
      <c r="N16" s="37"/>
      <c r="O16" s="26"/>
    </row>
    <row r="17" spans="1:15" x14ac:dyDescent="0.15">
      <c r="A17" s="90" t="s">
        <v>234</v>
      </c>
      <c r="B17" s="8" t="s">
        <v>311</v>
      </c>
      <c r="C17" s="77" t="s">
        <v>287</v>
      </c>
      <c r="D17" s="8" t="str">
        <f t="shared" si="0"/>
        <v>くろしお出版</v>
      </c>
      <c r="E17" s="19">
        <f>VLOOKUP(C17,教科書一覧,3,FALSE)</f>
        <v>2139</v>
      </c>
      <c r="F17" s="87" t="s">
        <v>136</v>
      </c>
      <c r="G17" s="87"/>
      <c r="H17" s="87" t="s">
        <v>136</v>
      </c>
      <c r="I17" s="13"/>
      <c r="J17" s="13"/>
      <c r="K17" s="13"/>
      <c r="L17" s="13"/>
      <c r="M17" s="13"/>
      <c r="N17" s="37"/>
      <c r="O17" s="26"/>
    </row>
    <row r="18" spans="1:15" x14ac:dyDescent="0.15">
      <c r="A18" s="90"/>
      <c r="B18" s="37"/>
      <c r="C18" s="12"/>
      <c r="D18" s="37"/>
      <c r="E18" s="18"/>
      <c r="F18" s="87"/>
      <c r="G18" s="87"/>
      <c r="H18" s="87"/>
      <c r="I18" s="13"/>
      <c r="J18" s="13"/>
      <c r="K18" s="13"/>
      <c r="L18" s="13"/>
      <c r="M18" s="13"/>
      <c r="N18" s="37"/>
      <c r="O18" s="25"/>
    </row>
    <row r="19" spans="1:15" x14ac:dyDescent="0.15">
      <c r="A19" s="90"/>
      <c r="B19" s="37"/>
      <c r="C19" s="12"/>
      <c r="D19" s="37"/>
      <c r="E19" s="18"/>
      <c r="F19" s="18"/>
      <c r="G19" s="13"/>
      <c r="H19" s="18"/>
      <c r="I19" s="13"/>
      <c r="J19" s="13"/>
      <c r="K19" s="13"/>
      <c r="L19" s="13"/>
      <c r="M19" s="13"/>
      <c r="N19" s="37"/>
      <c r="O19" s="25"/>
    </row>
    <row r="20" spans="1:15" x14ac:dyDescent="0.15">
      <c r="A20" s="90"/>
      <c r="B20" s="37"/>
      <c r="C20" s="12"/>
      <c r="D20" s="37"/>
      <c r="E20" s="18"/>
      <c r="F20" s="13"/>
      <c r="G20" s="13"/>
      <c r="H20" s="13"/>
      <c r="I20" s="13"/>
      <c r="J20" s="13"/>
      <c r="K20" s="13"/>
      <c r="L20" s="13"/>
      <c r="M20" s="13"/>
      <c r="N20" s="37"/>
      <c r="O20" s="25"/>
    </row>
    <row r="21" spans="1:15" x14ac:dyDescent="0.15">
      <c r="A21" s="8"/>
      <c r="B21" s="37"/>
      <c r="C21" s="12"/>
      <c r="D21" s="37"/>
      <c r="E21" s="18"/>
      <c r="F21" s="18"/>
      <c r="G21" s="13"/>
      <c r="H21" s="18"/>
      <c r="I21" s="13"/>
      <c r="J21" s="13"/>
      <c r="K21" s="13"/>
      <c r="L21" s="13"/>
      <c r="M21" s="13"/>
      <c r="N21" s="37"/>
      <c r="O21" s="25"/>
    </row>
    <row r="22" spans="1:15" x14ac:dyDescent="0.15">
      <c r="A22" s="8"/>
      <c r="B22" s="37"/>
      <c r="C22" s="12"/>
      <c r="D22" s="37"/>
      <c r="E22" s="18"/>
      <c r="F22" s="18"/>
      <c r="G22" s="13"/>
      <c r="H22" s="18"/>
      <c r="I22" s="13"/>
      <c r="J22" s="13"/>
      <c r="K22" s="13"/>
      <c r="L22" s="13"/>
      <c r="M22" s="13"/>
      <c r="N22" s="37"/>
      <c r="O22" s="25"/>
    </row>
    <row r="23" spans="1:15" x14ac:dyDescent="0.15">
      <c r="A23" s="8"/>
      <c r="B23" s="37"/>
      <c r="C23" s="12"/>
      <c r="D23" s="37"/>
      <c r="E23" s="18"/>
      <c r="F23" s="18"/>
      <c r="G23" s="13"/>
      <c r="H23" s="18"/>
      <c r="I23" s="13"/>
      <c r="J23" s="13"/>
      <c r="K23" s="13"/>
      <c r="L23" s="13"/>
      <c r="M23" s="13"/>
      <c r="N23" s="37"/>
      <c r="O23" s="25"/>
    </row>
    <row r="24" spans="1:15" x14ac:dyDescent="0.15">
      <c r="A24" s="8"/>
      <c r="B24" s="37"/>
      <c r="C24" s="12"/>
      <c r="D24" s="37"/>
      <c r="E24" s="18"/>
      <c r="F24" s="18"/>
      <c r="G24" s="18"/>
      <c r="H24" s="18"/>
      <c r="I24" s="18"/>
      <c r="J24" s="13"/>
      <c r="K24" s="13"/>
      <c r="L24" s="13"/>
      <c r="M24" s="13"/>
      <c r="N24" s="37"/>
      <c r="O24" s="25"/>
    </row>
    <row r="25" spans="1:15" x14ac:dyDescent="0.15">
      <c r="D25" s="15" t="s">
        <v>5</v>
      </c>
      <c r="E25" s="78">
        <f>SUM(E5:E24)</f>
        <v>21337</v>
      </c>
      <c r="F25" s="6">
        <f>SUMIF(F5:F24,"○",$E$5:$E$24)</f>
        <v>10628</v>
      </c>
      <c r="G25" s="6">
        <f t="shared" ref="G25:M25" si="1">SUMIF(G5:G24,"○",$E$5:$E$24)</f>
        <v>7518</v>
      </c>
      <c r="H25" s="6">
        <f t="shared" si="1"/>
        <v>12334</v>
      </c>
      <c r="I25" s="6">
        <f t="shared" si="1"/>
        <v>2592</v>
      </c>
      <c r="J25" s="6">
        <f t="shared" si="1"/>
        <v>1815</v>
      </c>
      <c r="K25" s="6">
        <f t="shared" si="1"/>
        <v>1815</v>
      </c>
      <c r="L25" s="6">
        <f t="shared" si="1"/>
        <v>0</v>
      </c>
      <c r="M25" s="6">
        <f t="shared" si="1"/>
        <v>0</v>
      </c>
    </row>
    <row r="27" spans="1:15" x14ac:dyDescent="0.15">
      <c r="A27" s="15" t="s">
        <v>115</v>
      </c>
      <c r="B27" s="15">
        <v>0</v>
      </c>
      <c r="C27" s="60" t="s">
        <v>113</v>
      </c>
      <c r="E27" s="15">
        <f>500*B27</f>
        <v>0</v>
      </c>
      <c r="F27" s="15" t="s">
        <v>114</v>
      </c>
    </row>
    <row r="28" spans="1:15" x14ac:dyDescent="0.15">
      <c r="A28" s="15" t="s">
        <v>104</v>
      </c>
    </row>
    <row r="29" spans="1:15" x14ac:dyDescent="0.15">
      <c r="A29" s="189" t="s">
        <v>107</v>
      </c>
      <c r="B29" s="189"/>
      <c r="C29" s="189"/>
      <c r="D29" s="189"/>
      <c r="E29" s="34">
        <v>5500</v>
      </c>
      <c r="H29" s="15" t="s">
        <v>360</v>
      </c>
      <c r="N29" s="6">
        <f>F25+E27+E29+E39</f>
        <v>18628</v>
      </c>
    </row>
    <row r="30" spans="1:15" x14ac:dyDescent="0.15">
      <c r="A30" s="186"/>
      <c r="B30" s="187"/>
      <c r="C30" s="187"/>
      <c r="D30" s="188"/>
      <c r="E30" s="34"/>
      <c r="H30" s="15" t="s">
        <v>361</v>
      </c>
      <c r="N30" s="6">
        <f>H25+E27+E29+E39</f>
        <v>20334</v>
      </c>
    </row>
    <row r="31" spans="1:15" x14ac:dyDescent="0.15">
      <c r="A31" s="186"/>
      <c r="B31" s="187"/>
      <c r="C31" s="187"/>
      <c r="D31" s="188"/>
      <c r="E31" s="34"/>
    </row>
    <row r="32" spans="1:15" x14ac:dyDescent="0.15">
      <c r="A32" s="186"/>
      <c r="B32" s="187"/>
      <c r="C32" s="187"/>
      <c r="D32" s="188"/>
      <c r="E32" s="34"/>
    </row>
    <row r="33" spans="1:5" x14ac:dyDescent="0.15">
      <c r="A33" s="154" t="s">
        <v>349</v>
      </c>
      <c r="B33" s="155"/>
      <c r="C33" s="155"/>
      <c r="D33" s="156"/>
      <c r="E33" s="34" t="s">
        <v>350</v>
      </c>
    </row>
    <row r="34" spans="1:5" x14ac:dyDescent="0.15">
      <c r="A34" s="186" t="s">
        <v>348</v>
      </c>
      <c r="B34" s="187"/>
      <c r="C34" s="187"/>
      <c r="D34" s="188"/>
      <c r="E34" s="34" t="s">
        <v>350</v>
      </c>
    </row>
    <row r="35" spans="1:5" x14ac:dyDescent="0.15">
      <c r="A35" s="186" t="s">
        <v>347</v>
      </c>
      <c r="B35" s="187"/>
      <c r="C35" s="187"/>
      <c r="D35" s="188"/>
      <c r="E35" s="34" t="s">
        <v>350</v>
      </c>
    </row>
    <row r="36" spans="1:5" x14ac:dyDescent="0.15">
      <c r="A36" s="186" t="s">
        <v>346</v>
      </c>
      <c r="B36" s="187"/>
      <c r="C36" s="187"/>
      <c r="D36" s="188"/>
      <c r="E36" s="34" t="s">
        <v>350</v>
      </c>
    </row>
    <row r="37" spans="1:5" x14ac:dyDescent="0.15">
      <c r="A37" s="186" t="s">
        <v>344</v>
      </c>
      <c r="B37" s="187"/>
      <c r="C37" s="187"/>
      <c r="D37" s="188"/>
      <c r="E37" s="34" t="s">
        <v>312</v>
      </c>
    </row>
    <row r="38" spans="1:5" x14ac:dyDescent="0.15">
      <c r="A38" s="186" t="s">
        <v>342</v>
      </c>
      <c r="B38" s="187"/>
      <c r="C38" s="187"/>
      <c r="D38" s="188"/>
      <c r="E38" s="34">
        <f>KENKOSINDANJUSHINN</f>
        <v>2500</v>
      </c>
    </row>
    <row r="39" spans="1:5" x14ac:dyDescent="0.15">
      <c r="E39" s="65">
        <f>SUM(E33:E38)</f>
        <v>2500</v>
      </c>
    </row>
    <row r="40" spans="1:5" x14ac:dyDescent="0.15">
      <c r="A40" s="181"/>
      <c r="B40" s="181"/>
      <c r="C40" s="181"/>
      <c r="D40" s="181"/>
      <c r="E40" s="65"/>
    </row>
    <row r="41" spans="1:5" x14ac:dyDescent="0.15">
      <c r="A41" s="181"/>
      <c r="B41" s="181"/>
      <c r="C41" s="181"/>
      <c r="D41" s="181"/>
      <c r="E41" s="65"/>
    </row>
  </sheetData>
  <customSheetViews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1"/>
    </customSheetView>
    <customSheetView guid="{8C3311D4-BF6B-4714-8FEE-EF832EA44719}" scale="130" showPageBreaks="1" fitToPage="1" printArea="1" hiddenColumns="1" view="pageBreakPreview">
      <selection activeCell="C11" sqref="C11"/>
      <pageMargins left="0.31496062992125984" right="0.31496062992125984" top="0.74803149606299213" bottom="0.74803149606299213" header="0.31496062992125984" footer="0.31496062992125984"/>
      <pageSetup paperSize="9" scale="96" orientation="landscape" r:id="rId2"/>
    </customSheetView>
  </customSheetViews>
  <mergeCells count="21">
    <mergeCell ref="A29:D29"/>
    <mergeCell ref="A37:D37"/>
    <mergeCell ref="A38:D38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  <mergeCell ref="A30:D30"/>
    <mergeCell ref="A31:D31"/>
    <mergeCell ref="A32:D32"/>
    <mergeCell ref="A36:D36"/>
    <mergeCell ref="A34:D34"/>
    <mergeCell ref="A35:D35"/>
    <mergeCell ref="A41:D41"/>
    <mergeCell ref="A40:D40"/>
  </mergeCells>
  <phoneticPr fontId="1"/>
  <conditionalFormatting sqref="A5:O24">
    <cfRule type="expression" dxfId="1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9"/>
  <sheetViews>
    <sheetView view="pageBreakPreview" zoomScale="70" zoomScaleNormal="70" zoomScaleSheetLayoutView="70" workbookViewId="0">
      <selection activeCell="E40" sqref="E40"/>
    </sheetView>
  </sheetViews>
  <sheetFormatPr defaultColWidth="9" defaultRowHeight="13.5" outlineLevelCol="1" x14ac:dyDescent="0.15"/>
  <cols>
    <col min="1" max="1" width="24.125" style="15" bestFit="1" customWidth="1"/>
    <col min="2" max="2" width="9.125" style="15" customWidth="1"/>
    <col min="3" max="3" width="59" style="15" bestFit="1" customWidth="1"/>
    <col min="4" max="4" width="18.375" style="15" bestFit="1" customWidth="1"/>
    <col min="5" max="5" width="11.125" style="15" customWidth="1"/>
    <col min="6" max="6" width="11.125" style="15" hidden="1" customWidth="1" outlineLevel="1"/>
    <col min="7" max="7" width="11.125" style="15" customWidth="1" collapsed="1"/>
    <col min="8" max="8" width="11.125" style="15" hidden="1" customWidth="1" outlineLevel="1"/>
    <col min="9" max="9" width="11.125" style="15" customWidth="1" collapsed="1"/>
    <col min="10" max="10" width="9" style="15" bestFit="1" customWidth="1"/>
    <col min="11" max="11" width="9" style="15"/>
    <col min="12" max="12" width="21" style="15" customWidth="1"/>
    <col min="13" max="16384" width="9" style="15"/>
  </cols>
  <sheetData>
    <row r="1" spans="1:12" x14ac:dyDescent="0.15">
      <c r="A1" s="181" t="s">
        <v>131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2" x14ac:dyDescent="0.15">
      <c r="A2" s="27" t="s">
        <v>319</v>
      </c>
      <c r="B2" s="27"/>
    </row>
    <row r="3" spans="1:12" x14ac:dyDescent="0.15">
      <c r="A3" s="191" t="s">
        <v>0</v>
      </c>
      <c r="B3" s="29" t="s">
        <v>32</v>
      </c>
      <c r="C3" s="191" t="s">
        <v>1</v>
      </c>
      <c r="D3" s="191" t="s">
        <v>2</v>
      </c>
      <c r="E3" s="191" t="s">
        <v>3</v>
      </c>
      <c r="F3" s="195" t="s">
        <v>12</v>
      </c>
      <c r="G3" s="196"/>
      <c r="H3" s="195" t="s">
        <v>11</v>
      </c>
      <c r="I3" s="196"/>
      <c r="J3" s="2" t="s">
        <v>4</v>
      </c>
      <c r="K3" s="190" t="s">
        <v>18</v>
      </c>
      <c r="L3" s="190" t="s">
        <v>4</v>
      </c>
    </row>
    <row r="4" spans="1:12" x14ac:dyDescent="0.15">
      <c r="A4" s="192"/>
      <c r="B4" s="30"/>
      <c r="C4" s="192"/>
      <c r="D4" s="192"/>
      <c r="E4" s="192"/>
      <c r="F4" s="2" t="s">
        <v>9</v>
      </c>
      <c r="G4" s="2" t="s">
        <v>10</v>
      </c>
      <c r="H4" s="2" t="s">
        <v>9</v>
      </c>
      <c r="I4" s="2" t="s">
        <v>10</v>
      </c>
      <c r="J4" s="2"/>
      <c r="K4" s="190"/>
      <c r="L4" s="190"/>
    </row>
    <row r="5" spans="1:12" x14ac:dyDescent="0.15">
      <c r="A5" s="8" t="s">
        <v>242</v>
      </c>
      <c r="B5" s="101" t="s">
        <v>6</v>
      </c>
      <c r="C5" s="101"/>
      <c r="D5" s="101" t="str">
        <f t="shared" ref="D5:D25" si="0">IF(OR(B5="不要",B5=""),"",VLOOKUP(C5,教科書一覧,2,FALSE))</f>
        <v/>
      </c>
      <c r="E5" s="104" t="str">
        <f t="shared" ref="E5:E25" si="1">IF(OR(B5="不要",B5=""),"",VLOOKUP(C5,教科書一覧,3,FALSE))</f>
        <v/>
      </c>
      <c r="F5" s="18"/>
      <c r="G5" s="87" t="s">
        <v>226</v>
      </c>
      <c r="H5" s="87"/>
      <c r="I5" s="87"/>
      <c r="J5" s="16"/>
      <c r="K5" s="25"/>
      <c r="L5" s="37"/>
    </row>
    <row r="6" spans="1:12" x14ac:dyDescent="0.15">
      <c r="A6" s="16" t="s">
        <v>228</v>
      </c>
      <c r="B6" s="101" t="s">
        <v>6</v>
      </c>
      <c r="C6" s="101"/>
      <c r="D6" s="101" t="str">
        <f t="shared" si="0"/>
        <v/>
      </c>
      <c r="E6" s="104" t="str">
        <f t="shared" si="1"/>
        <v/>
      </c>
      <c r="F6" s="18"/>
      <c r="G6" s="87" t="s">
        <v>226</v>
      </c>
      <c r="H6" s="87"/>
      <c r="I6" s="87"/>
      <c r="J6" s="90"/>
      <c r="K6" s="25"/>
      <c r="L6" s="37"/>
    </row>
    <row r="7" spans="1:12" x14ac:dyDescent="0.15">
      <c r="A7" s="16" t="s">
        <v>244</v>
      </c>
      <c r="B7" s="101" t="s">
        <v>6</v>
      </c>
      <c r="C7" s="101"/>
      <c r="D7" s="101" t="str">
        <f t="shared" si="0"/>
        <v/>
      </c>
      <c r="E7" s="104" t="str">
        <f t="shared" si="1"/>
        <v/>
      </c>
      <c r="F7" s="18"/>
      <c r="G7" s="87" t="s">
        <v>226</v>
      </c>
      <c r="H7" s="87"/>
      <c r="I7" s="87" t="s">
        <v>245</v>
      </c>
      <c r="J7" s="16"/>
      <c r="K7" s="25"/>
      <c r="L7" s="90"/>
    </row>
    <row r="8" spans="1:12" x14ac:dyDescent="0.15">
      <c r="A8" s="16" t="s">
        <v>235</v>
      </c>
      <c r="B8" s="8" t="s">
        <v>274</v>
      </c>
      <c r="C8" s="20" t="s">
        <v>203</v>
      </c>
      <c r="D8" s="8" t="str">
        <f t="shared" si="0"/>
        <v>技術評論社</v>
      </c>
      <c r="E8" s="19">
        <f t="shared" si="1"/>
        <v>2030</v>
      </c>
      <c r="F8" s="87"/>
      <c r="G8" s="87"/>
      <c r="H8" s="87"/>
      <c r="I8" s="87" t="s">
        <v>241</v>
      </c>
      <c r="J8" s="37"/>
      <c r="K8" s="25"/>
      <c r="L8" s="37"/>
    </row>
    <row r="9" spans="1:12" x14ac:dyDescent="0.15">
      <c r="A9" s="16" t="s">
        <v>240</v>
      </c>
      <c r="B9" s="101" t="s">
        <v>6</v>
      </c>
      <c r="C9" s="101"/>
      <c r="D9" s="101" t="str">
        <f t="shared" si="0"/>
        <v/>
      </c>
      <c r="E9" s="104" t="str">
        <f t="shared" si="1"/>
        <v/>
      </c>
      <c r="F9" s="18"/>
      <c r="G9" s="87" t="s">
        <v>226</v>
      </c>
      <c r="H9" s="87"/>
      <c r="I9" s="87" t="s">
        <v>246</v>
      </c>
      <c r="J9" s="37"/>
      <c r="K9" s="25"/>
      <c r="L9" s="37"/>
    </row>
    <row r="10" spans="1:12" x14ac:dyDescent="0.15">
      <c r="A10" s="16" t="s">
        <v>243</v>
      </c>
      <c r="B10" s="101" t="s">
        <v>6</v>
      </c>
      <c r="C10" s="101"/>
      <c r="D10" s="101" t="str">
        <f t="shared" si="0"/>
        <v/>
      </c>
      <c r="E10" s="104" t="str">
        <f t="shared" si="1"/>
        <v/>
      </c>
      <c r="F10" s="18"/>
      <c r="G10" s="87" t="s">
        <v>226</v>
      </c>
      <c r="H10" s="87"/>
      <c r="I10" s="87"/>
      <c r="J10" s="16"/>
      <c r="K10" s="25"/>
      <c r="L10" s="37"/>
    </row>
    <row r="11" spans="1:12" x14ac:dyDescent="0.15">
      <c r="A11" s="8" t="s">
        <v>239</v>
      </c>
      <c r="B11" s="8" t="s">
        <v>272</v>
      </c>
      <c r="C11" s="8" t="s">
        <v>275</v>
      </c>
      <c r="D11" s="8" t="str">
        <f t="shared" si="0"/>
        <v>株式会社アルク</v>
      </c>
      <c r="E11" s="19">
        <f t="shared" si="1"/>
        <v>2160</v>
      </c>
      <c r="F11" s="18"/>
      <c r="G11" s="87" t="s">
        <v>226</v>
      </c>
      <c r="H11" s="87"/>
      <c r="I11" s="87" t="s">
        <v>117</v>
      </c>
      <c r="J11" s="37"/>
      <c r="K11" s="25"/>
      <c r="L11" s="37"/>
    </row>
    <row r="12" spans="1:12" x14ac:dyDescent="0.15">
      <c r="A12" s="90" t="s">
        <v>236</v>
      </c>
      <c r="B12" s="8" t="s">
        <v>274</v>
      </c>
      <c r="C12" s="22" t="s">
        <v>202</v>
      </c>
      <c r="D12" s="8" t="str">
        <f t="shared" si="0"/>
        <v>技術評論社</v>
      </c>
      <c r="E12" s="19">
        <f t="shared" si="1"/>
        <v>2030</v>
      </c>
      <c r="F12" s="87"/>
      <c r="G12" s="87"/>
      <c r="H12" s="87"/>
      <c r="I12" s="87" t="s">
        <v>241</v>
      </c>
      <c r="J12" s="36"/>
      <c r="K12" s="25"/>
      <c r="L12" s="37"/>
    </row>
    <row r="13" spans="1:12" x14ac:dyDescent="0.15">
      <c r="A13" s="90" t="s">
        <v>237</v>
      </c>
      <c r="B13" s="8" t="s">
        <v>274</v>
      </c>
      <c r="C13" s="20" t="s">
        <v>204</v>
      </c>
      <c r="D13" s="8" t="str">
        <f t="shared" si="0"/>
        <v>技術評論社</v>
      </c>
      <c r="E13" s="19">
        <f t="shared" si="1"/>
        <v>2138</v>
      </c>
      <c r="F13" s="87"/>
      <c r="G13" s="87"/>
      <c r="H13" s="87"/>
      <c r="I13" s="87" t="s">
        <v>241</v>
      </c>
      <c r="J13" s="37"/>
      <c r="K13" s="26"/>
      <c r="L13" s="74"/>
    </row>
    <row r="14" spans="1:12" x14ac:dyDescent="0.15">
      <c r="A14" s="90" t="s">
        <v>238</v>
      </c>
      <c r="B14" s="101" t="s">
        <v>6</v>
      </c>
      <c r="C14" s="101"/>
      <c r="D14" s="101" t="str">
        <f t="shared" si="0"/>
        <v/>
      </c>
      <c r="E14" s="104" t="str">
        <f t="shared" si="1"/>
        <v/>
      </c>
      <c r="F14" s="18"/>
      <c r="G14" s="87" t="s">
        <v>226</v>
      </c>
      <c r="H14" s="87"/>
      <c r="I14" s="87" t="s">
        <v>245</v>
      </c>
      <c r="J14" s="37"/>
      <c r="K14" s="25"/>
      <c r="L14" s="37"/>
    </row>
    <row r="15" spans="1:12" x14ac:dyDescent="0.15">
      <c r="A15" s="90"/>
      <c r="B15" s="37"/>
      <c r="C15" s="14"/>
      <c r="D15" s="90" t="str">
        <f t="shared" si="0"/>
        <v/>
      </c>
      <c r="E15" s="18" t="str">
        <f t="shared" si="1"/>
        <v/>
      </c>
      <c r="F15" s="87"/>
      <c r="G15" s="87"/>
      <c r="H15" s="87"/>
      <c r="I15" s="87"/>
      <c r="J15" s="90"/>
      <c r="K15" s="25"/>
      <c r="L15" s="37"/>
    </row>
    <row r="16" spans="1:12" x14ac:dyDescent="0.15">
      <c r="A16" s="90"/>
      <c r="B16" s="37"/>
      <c r="C16" s="90"/>
      <c r="D16" s="90" t="str">
        <f t="shared" si="0"/>
        <v/>
      </c>
      <c r="E16" s="18" t="str">
        <f t="shared" si="1"/>
        <v/>
      </c>
      <c r="F16" s="18"/>
      <c r="G16" s="87"/>
      <c r="H16" s="87"/>
      <c r="I16" s="87"/>
      <c r="J16" s="37"/>
      <c r="K16" s="25"/>
      <c r="L16" s="90"/>
    </row>
    <row r="17" spans="1:12" x14ac:dyDescent="0.15">
      <c r="A17" s="90"/>
      <c r="B17" s="37"/>
      <c r="C17" s="90"/>
      <c r="D17" s="37" t="str">
        <f t="shared" si="0"/>
        <v/>
      </c>
      <c r="E17" s="18" t="str">
        <f t="shared" si="1"/>
        <v/>
      </c>
      <c r="F17" s="87"/>
      <c r="G17" s="87"/>
      <c r="H17" s="87"/>
      <c r="I17" s="87"/>
      <c r="J17" s="37"/>
      <c r="K17" s="25"/>
      <c r="L17" s="37"/>
    </row>
    <row r="18" spans="1:12" x14ac:dyDescent="0.15">
      <c r="A18" s="90"/>
      <c r="B18" s="16"/>
      <c r="C18" s="14"/>
      <c r="D18" s="16" t="str">
        <f t="shared" si="0"/>
        <v/>
      </c>
      <c r="E18" s="18" t="str">
        <f t="shared" si="1"/>
        <v/>
      </c>
      <c r="F18" s="87"/>
      <c r="G18" s="87"/>
      <c r="H18" s="87"/>
      <c r="I18" s="87"/>
      <c r="J18" s="16"/>
      <c r="K18" s="25"/>
      <c r="L18" s="37"/>
    </row>
    <row r="19" spans="1:12" x14ac:dyDescent="0.15">
      <c r="A19" s="16"/>
      <c r="B19" s="16"/>
      <c r="C19" s="16"/>
      <c r="D19" s="16" t="str">
        <f t="shared" si="0"/>
        <v/>
      </c>
      <c r="E19" s="18" t="str">
        <f t="shared" si="1"/>
        <v/>
      </c>
      <c r="F19" s="18"/>
      <c r="G19" s="18"/>
      <c r="H19" s="18"/>
      <c r="I19" s="18"/>
      <c r="J19" s="16"/>
      <c r="K19" s="25"/>
      <c r="L19" s="37"/>
    </row>
    <row r="20" spans="1:12" x14ac:dyDescent="0.15">
      <c r="A20" s="8"/>
      <c r="B20" s="16"/>
      <c r="C20" s="16"/>
      <c r="D20" s="16" t="str">
        <f t="shared" si="0"/>
        <v/>
      </c>
      <c r="E20" s="18" t="str">
        <f t="shared" si="1"/>
        <v/>
      </c>
      <c r="F20" s="18"/>
      <c r="G20" s="18"/>
      <c r="H20" s="18"/>
      <c r="I20" s="18"/>
      <c r="J20" s="16"/>
      <c r="K20" s="25"/>
      <c r="L20" s="37"/>
    </row>
    <row r="21" spans="1:12" x14ac:dyDescent="0.15">
      <c r="A21" s="8"/>
      <c r="B21" s="37"/>
      <c r="C21" s="37"/>
      <c r="D21" s="37" t="str">
        <f t="shared" si="0"/>
        <v/>
      </c>
      <c r="E21" s="18" t="str">
        <f t="shared" si="1"/>
        <v/>
      </c>
      <c r="F21" s="18"/>
      <c r="G21" s="18"/>
      <c r="H21" s="18"/>
      <c r="I21" s="18"/>
      <c r="J21" s="37"/>
      <c r="K21" s="25"/>
      <c r="L21" s="37"/>
    </row>
    <row r="22" spans="1:12" x14ac:dyDescent="0.15">
      <c r="A22" s="37"/>
      <c r="B22" s="37"/>
      <c r="C22" s="37"/>
      <c r="D22" s="37" t="str">
        <f t="shared" si="0"/>
        <v/>
      </c>
      <c r="E22" s="18" t="str">
        <f t="shared" si="1"/>
        <v/>
      </c>
      <c r="F22" s="18"/>
      <c r="G22" s="18"/>
      <c r="H22" s="18"/>
      <c r="I22" s="18"/>
      <c r="J22" s="37"/>
      <c r="K22" s="25"/>
      <c r="L22" s="37"/>
    </row>
    <row r="23" spans="1:12" x14ac:dyDescent="0.15">
      <c r="A23" s="16"/>
      <c r="B23" s="16"/>
      <c r="C23" s="17"/>
      <c r="D23" s="16" t="str">
        <f t="shared" si="0"/>
        <v/>
      </c>
      <c r="E23" s="18" t="str">
        <f t="shared" si="1"/>
        <v/>
      </c>
      <c r="F23" s="13"/>
      <c r="G23" s="13"/>
      <c r="H23" s="13"/>
      <c r="I23" s="13"/>
      <c r="J23" s="37"/>
      <c r="K23" s="25"/>
      <c r="L23" s="37"/>
    </row>
    <row r="24" spans="1:12" x14ac:dyDescent="0.15">
      <c r="A24" s="16"/>
      <c r="B24" s="16"/>
      <c r="C24" s="14"/>
      <c r="D24" s="16" t="str">
        <f t="shared" si="0"/>
        <v/>
      </c>
      <c r="E24" s="18" t="str">
        <f t="shared" si="1"/>
        <v/>
      </c>
      <c r="F24" s="13"/>
      <c r="G24" s="13"/>
      <c r="H24" s="13"/>
      <c r="I24" s="13"/>
      <c r="J24" s="37"/>
      <c r="K24" s="70"/>
      <c r="L24" s="37"/>
    </row>
    <row r="25" spans="1:12" x14ac:dyDescent="0.15">
      <c r="A25" s="16"/>
      <c r="B25" s="16"/>
      <c r="C25" s="14"/>
      <c r="D25" s="16" t="str">
        <f t="shared" si="0"/>
        <v/>
      </c>
      <c r="E25" s="18" t="str">
        <f t="shared" si="1"/>
        <v/>
      </c>
      <c r="F25" s="13"/>
      <c r="G25" s="13"/>
      <c r="H25" s="13"/>
      <c r="I25" s="13"/>
      <c r="J25" s="14"/>
      <c r="K25" s="25"/>
      <c r="L25" s="37"/>
    </row>
    <row r="26" spans="1:12" x14ac:dyDescent="0.15">
      <c r="D26" s="15" t="s">
        <v>5</v>
      </c>
      <c r="E26" s="78">
        <f>SUM(E5:E25)</f>
        <v>8358</v>
      </c>
      <c r="F26" s="6">
        <f>SUMIF(F5:F25,"○",$E$5:$E$25)</f>
        <v>0</v>
      </c>
      <c r="G26" s="6">
        <f>SUMIF(G5:G25,"○",$E$5:$E$25)</f>
        <v>2160</v>
      </c>
      <c r="H26" s="6">
        <f>SUMIF(H5:H25,"○",$E$5:$E$25)</f>
        <v>0</v>
      </c>
      <c r="I26" s="6">
        <f>SUMIF(I5:I25,"○",$E$5:$E$25)</f>
        <v>8358</v>
      </c>
    </row>
    <row r="29" spans="1:12" x14ac:dyDescent="0.15">
      <c r="A29" s="15" t="s">
        <v>115</v>
      </c>
      <c r="C29" s="15" t="s">
        <v>113</v>
      </c>
      <c r="E29" s="15">
        <f>500*B29</f>
        <v>0</v>
      </c>
      <c r="F29" s="15" t="s">
        <v>114</v>
      </c>
      <c r="G29" s="11" t="s">
        <v>114</v>
      </c>
      <c r="I29" s="11"/>
    </row>
    <row r="30" spans="1:12" x14ac:dyDescent="0.15">
      <c r="A30" s="15" t="s">
        <v>104</v>
      </c>
    </row>
    <row r="31" spans="1:12" x14ac:dyDescent="0.15">
      <c r="A31" s="189" t="s">
        <v>107</v>
      </c>
      <c r="B31" s="189"/>
      <c r="C31" s="189"/>
      <c r="D31" s="189"/>
      <c r="E31" s="34">
        <v>5500</v>
      </c>
      <c r="K31" s="15" t="s">
        <v>398</v>
      </c>
      <c r="L31" s="6">
        <f>G26+E29+E31+E39</f>
        <v>10160</v>
      </c>
    </row>
    <row r="32" spans="1:12" x14ac:dyDescent="0.15">
      <c r="A32" s="189"/>
      <c r="B32" s="189"/>
      <c r="C32" s="189"/>
      <c r="D32" s="189"/>
      <c r="E32" s="34"/>
      <c r="K32" s="15" t="s">
        <v>399</v>
      </c>
      <c r="L32" s="6">
        <f>I26+E29+E31+E39</f>
        <v>16358</v>
      </c>
    </row>
    <row r="33" spans="1:5" x14ac:dyDescent="0.15">
      <c r="A33" s="151" t="s">
        <v>349</v>
      </c>
      <c r="B33" s="152"/>
      <c r="C33" s="152"/>
      <c r="D33" s="153"/>
      <c r="E33" s="34" t="s">
        <v>350</v>
      </c>
    </row>
    <row r="34" spans="1:5" x14ac:dyDescent="0.15">
      <c r="A34" s="186" t="s">
        <v>348</v>
      </c>
      <c r="B34" s="187"/>
      <c r="C34" s="187"/>
      <c r="D34" s="188"/>
      <c r="E34" s="34" t="s">
        <v>350</v>
      </c>
    </row>
    <row r="35" spans="1:5" x14ac:dyDescent="0.15">
      <c r="A35" s="186" t="s">
        <v>347</v>
      </c>
      <c r="B35" s="187"/>
      <c r="C35" s="187"/>
      <c r="D35" s="188"/>
      <c r="E35" s="34" t="s">
        <v>350</v>
      </c>
    </row>
    <row r="36" spans="1:5" x14ac:dyDescent="0.15">
      <c r="A36" s="186" t="s">
        <v>345</v>
      </c>
      <c r="B36" s="187"/>
      <c r="C36" s="187"/>
      <c r="D36" s="188"/>
      <c r="E36" s="34" t="s">
        <v>350</v>
      </c>
    </row>
    <row r="37" spans="1:5" x14ac:dyDescent="0.15">
      <c r="A37" s="186" t="s">
        <v>344</v>
      </c>
      <c r="B37" s="187"/>
      <c r="C37" s="187"/>
      <c r="D37" s="188"/>
      <c r="E37" s="34" t="s">
        <v>312</v>
      </c>
    </row>
    <row r="38" spans="1:5" x14ac:dyDescent="0.15">
      <c r="A38" s="189" t="s">
        <v>342</v>
      </c>
      <c r="B38" s="189"/>
      <c r="C38" s="189"/>
      <c r="D38" s="189"/>
      <c r="E38" s="34">
        <f>KENKOSINDANJUSHINN</f>
        <v>2500</v>
      </c>
    </row>
    <row r="39" spans="1:5" x14ac:dyDescent="0.15">
      <c r="E39" s="65">
        <f>SUM(E33:E38)</f>
        <v>2500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1"/>
    </customSheetView>
    <customSheetView guid="{8C3311D4-BF6B-4714-8FEE-EF832EA44719}" showPageBreaks="1" fitToPage="1" showAutoFilter="1" hiddenColumns="1" view="pageBreakPreview" topLeftCell="B1">
      <selection activeCell="C7" sqref="C7"/>
      <pageMargins left="0.70866141732283472" right="0.70866141732283472" top="0.74803149606299213" bottom="0.74803149606299213" header="0.31496062992125984" footer="0.31496062992125984"/>
      <pageSetup paperSize="9" scale="65" orientation="landscape" r:id="rId2"/>
      <autoFilter ref="A3:L18">
        <filterColumn colId="5" showButton="0"/>
        <filterColumn colId="7" showButton="0"/>
        <sortState ref="A6:L18">
          <sortCondition ref="A3:A18"/>
        </sortState>
      </autoFilter>
    </customSheetView>
  </customSheetViews>
  <mergeCells count="16">
    <mergeCell ref="A31:D31"/>
    <mergeCell ref="A32:D32"/>
    <mergeCell ref="A38:D38"/>
    <mergeCell ref="L3:L4"/>
    <mergeCell ref="K3:K4"/>
    <mergeCell ref="A37:D37"/>
    <mergeCell ref="A36:D36"/>
    <mergeCell ref="A34:D34"/>
    <mergeCell ref="A35:D35"/>
    <mergeCell ref="A1:J1"/>
    <mergeCell ref="A3:A4"/>
    <mergeCell ref="C3:C4"/>
    <mergeCell ref="D3:D4"/>
    <mergeCell ref="E3:E4"/>
    <mergeCell ref="F3:G3"/>
    <mergeCell ref="H3:I3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C5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19</vt:i4>
      </vt:variant>
    </vt:vector>
  </HeadingPairs>
  <TitlesOfParts>
    <vt:vector size="39" baseType="lpstr">
      <vt:lpstr>各クラスの教科書などの集計</vt:lpstr>
      <vt:lpstr>コース別テキスト代</vt:lpstr>
      <vt:lpstr>教材費（教科書代以外）</vt:lpstr>
      <vt:lpstr>教科書一覧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(情報システム学科3年課程)</vt:lpstr>
      <vt:lpstr>一般3年生(情報システム学科3年課程)</vt:lpstr>
      <vt:lpstr>一般3年生(経営情報学科)</vt:lpstr>
      <vt:lpstr>一般1年生 (情報ビジネス学科　2年課程)</vt:lpstr>
      <vt:lpstr>一般2年生 (情報ビジネス学科　2年課程)</vt:lpstr>
      <vt:lpstr>一般1年生 (情報社会学科　1年課程)</vt:lpstr>
      <vt:lpstr>アスリート1年生</vt:lpstr>
      <vt:lpstr>アスリート1年生女子</vt:lpstr>
      <vt:lpstr>アスリート2年生</vt:lpstr>
      <vt:lpstr>アスリート3年生</vt:lpstr>
      <vt:lpstr>留学生1年生</vt:lpstr>
      <vt:lpstr>留学生2年生</vt:lpstr>
      <vt:lpstr>留学生3年生</vt:lpstr>
      <vt:lpstr>CKGTシャツ代</vt:lpstr>
      <vt:lpstr>hokennryou</vt:lpstr>
      <vt:lpstr>jouhoushorigijutushasikenndai</vt:lpstr>
      <vt:lpstr>KENKOSINDANJUSHINN</vt:lpstr>
      <vt:lpstr>nihonngonouoryokuninteisikendai</vt:lpstr>
      <vt:lpstr>アスリート2年生!Print_Area</vt:lpstr>
      <vt:lpstr>アスリート3年生!Print_Area</vt:lpstr>
      <vt:lpstr>'一般1年生 (情報ビジネス学科　2年課程)'!Print_Area</vt:lpstr>
      <vt:lpstr>'一般1年生(情報処理技術学科2年課程)'!Print_Area</vt:lpstr>
      <vt:lpstr>'一般2年生 (情報システム学科3年課程)'!Print_Area</vt:lpstr>
      <vt:lpstr>'一般2年生 (情報ビジネス学科　2年課程)'!Print_Area</vt:lpstr>
      <vt:lpstr>'一般2年生 (情報処理技術学科2年課程)'!Print_Area</vt:lpstr>
      <vt:lpstr>'一般3年生(経営情報学科)'!Print_Area</vt:lpstr>
      <vt:lpstr>'一般3年生(情報システム学科3年課程)'!Print_Area</vt:lpstr>
      <vt:lpstr>教科書一覧!Print_Area</vt:lpstr>
      <vt:lpstr>留学生2年生!Print_Area</vt:lpstr>
      <vt:lpstr>SOTUGYOUSHASINDAI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2018-03-26T01:14:59Z</cp:lastPrinted>
  <dcterms:created xsi:type="dcterms:W3CDTF">2015-02-26T06:34:18Z</dcterms:created>
  <dcterms:modified xsi:type="dcterms:W3CDTF">2018-03-29T09:35:45Z</dcterms:modified>
</cp:coreProperties>
</file>